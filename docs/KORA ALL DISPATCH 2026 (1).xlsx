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activeTab="6"/>
  </bookViews>
  <sheets>
    <sheet name="30042026" sheetId="1" r:id="rId1"/>
    <sheet name="27042026" sheetId="2" r:id="rId2"/>
    <sheet name="02052026" sheetId="3" r:id="rId3"/>
    <sheet name="11052026" sheetId="4" r:id="rId4"/>
    <sheet name="19052026" sheetId="5" r:id="rId5"/>
    <sheet name="21052026" sheetId="6" r:id="rId6"/>
    <sheet name="23052026" sheetId="7" r:id="rId7"/>
    <sheet name="Sheet3" sheetId="8" r:id="rId8"/>
  </sheets>
  <calcPr calcId="144525"/>
</workbook>
</file>

<file path=xl/calcChain.xml><?xml version="1.0" encoding="utf-8"?>
<calcChain xmlns="http://schemas.openxmlformats.org/spreadsheetml/2006/main">
  <c r="M15" i="7" l="1"/>
  <c r="M14" i="7"/>
  <c r="O14" i="7" s="1"/>
  <c r="M13" i="7"/>
  <c r="O13" i="7" s="1"/>
  <c r="M12" i="7"/>
  <c r="O12" i="7" s="1"/>
  <c r="M11" i="7"/>
  <c r="O11" i="7" s="1"/>
  <c r="M10" i="7" l="1"/>
  <c r="O10" i="7" s="1"/>
  <c r="M9" i="7"/>
  <c r="O9" i="7" s="1"/>
  <c r="M8" i="7"/>
  <c r="O8" i="7"/>
  <c r="L15" i="7" l="1"/>
  <c r="K15" i="7"/>
  <c r="J15" i="7"/>
  <c r="I15" i="7"/>
  <c r="H15" i="7"/>
  <c r="G15" i="7"/>
  <c r="F15" i="7"/>
  <c r="M7" i="7"/>
  <c r="O7" i="7" s="1"/>
  <c r="M6" i="7"/>
  <c r="O6" i="7" s="1"/>
  <c r="O5" i="7"/>
  <c r="M5" i="7"/>
  <c r="M7" i="6"/>
  <c r="O7" i="6" s="1"/>
  <c r="O15" i="7" l="1"/>
  <c r="L10" i="6" l="1"/>
  <c r="K10" i="6"/>
  <c r="J10" i="6"/>
  <c r="I10" i="6"/>
  <c r="H10" i="6"/>
  <c r="G10" i="6"/>
  <c r="F10" i="6"/>
  <c r="M9" i="6"/>
  <c r="O9" i="6" s="1"/>
  <c r="M8" i="6"/>
  <c r="O8" i="6" s="1"/>
  <c r="M6" i="6"/>
  <c r="O6" i="6" s="1"/>
  <c r="M5" i="6"/>
  <c r="M10" i="6" l="1"/>
  <c r="O5" i="6"/>
  <c r="O10" i="6" s="1"/>
  <c r="L9" i="5"/>
  <c r="K9" i="5"/>
  <c r="J9" i="5"/>
  <c r="I9" i="5"/>
  <c r="H9" i="5"/>
  <c r="G9" i="5"/>
  <c r="F9" i="5"/>
  <c r="M8" i="5"/>
  <c r="O8" i="5" s="1"/>
  <c r="M7" i="5"/>
  <c r="O7" i="5" s="1"/>
  <c r="M6" i="5"/>
  <c r="O6" i="5" s="1"/>
  <c r="M5" i="5"/>
  <c r="M9" i="5" l="1"/>
  <c r="O5" i="5"/>
  <c r="O9" i="5" s="1"/>
  <c r="J9" i="4"/>
  <c r="I9" i="4"/>
  <c r="H9" i="4"/>
  <c r="G9" i="4"/>
  <c r="F9" i="4"/>
  <c r="E9" i="4"/>
  <c r="D9" i="4"/>
  <c r="K8" i="4"/>
  <c r="M8" i="4" s="1"/>
  <c r="K7" i="4"/>
  <c r="M7" i="4" s="1"/>
  <c r="K6" i="4"/>
  <c r="M6" i="4" s="1"/>
  <c r="K5" i="4"/>
  <c r="K9" i="4" l="1"/>
  <c r="M5" i="4"/>
  <c r="M9" i="4" s="1"/>
  <c r="K12" i="3"/>
  <c r="M12" i="3" s="1"/>
  <c r="J13" i="3"/>
  <c r="I13" i="3"/>
  <c r="H13" i="3"/>
  <c r="G13" i="3"/>
  <c r="F13" i="3"/>
  <c r="E13" i="3"/>
  <c r="D13" i="3"/>
  <c r="K11" i="3"/>
  <c r="M11" i="3" s="1"/>
  <c r="K10" i="3"/>
  <c r="M10" i="3" s="1"/>
  <c r="K9" i="3"/>
  <c r="M9" i="3" s="1"/>
  <c r="K8" i="3"/>
  <c r="M8" i="3" s="1"/>
  <c r="K7" i="3"/>
  <c r="M7" i="3" s="1"/>
  <c r="K6" i="3"/>
  <c r="M6" i="3" s="1"/>
  <c r="K5" i="3"/>
  <c r="K13" i="3" l="1"/>
  <c r="M5" i="3"/>
  <c r="M13" i="3" s="1"/>
  <c r="M17" i="2"/>
  <c r="E17" i="2"/>
  <c r="D17" i="2"/>
  <c r="J17" i="2"/>
  <c r="I17" i="2"/>
  <c r="H17" i="2"/>
  <c r="G17" i="2"/>
  <c r="F17" i="2"/>
  <c r="K16" i="2"/>
  <c r="M16" i="2" s="1"/>
  <c r="K15" i="2"/>
  <c r="M15" i="2" s="1"/>
  <c r="K14" i="2"/>
  <c r="M14" i="2" s="1"/>
  <c r="K13" i="2"/>
  <c r="M13" i="2" s="1"/>
  <c r="K12" i="2"/>
  <c r="M12" i="2" s="1"/>
  <c r="K11" i="2"/>
  <c r="M11" i="2" s="1"/>
  <c r="K10" i="2"/>
  <c r="M10" i="2" s="1"/>
  <c r="K9" i="2"/>
  <c r="M9" i="2" s="1"/>
  <c r="K8" i="2"/>
  <c r="M8" i="2" s="1"/>
  <c r="K7" i="2"/>
  <c r="M7" i="2" s="1"/>
  <c r="K6" i="2"/>
  <c r="M6" i="2" s="1"/>
  <c r="K5" i="2"/>
  <c r="K17" i="2" l="1"/>
  <c r="M5" i="2"/>
  <c r="M20" i="1"/>
  <c r="K20" i="1"/>
  <c r="J20" i="1"/>
  <c r="I20" i="1"/>
  <c r="H20" i="1"/>
  <c r="G20" i="1"/>
  <c r="F20" i="1"/>
  <c r="E20" i="1"/>
  <c r="D20" i="1"/>
  <c r="K14" i="1"/>
  <c r="M14" i="1" s="1"/>
  <c r="K19" i="1"/>
  <c r="M19" i="1" s="1"/>
  <c r="K18" i="1"/>
  <c r="M18" i="1" s="1"/>
  <c r="K17" i="1"/>
  <c r="M17" i="1" s="1"/>
  <c r="K16" i="1"/>
  <c r="M16" i="1" s="1"/>
  <c r="K15" i="1"/>
  <c r="M15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</calcChain>
</file>

<file path=xl/sharedStrings.xml><?xml version="1.0" encoding="utf-8"?>
<sst xmlns="http://schemas.openxmlformats.org/spreadsheetml/2006/main" count="165" uniqueCount="40">
  <si>
    <t>SR . NO</t>
  </si>
  <si>
    <t>ARTICLE</t>
  </si>
  <si>
    <t>COLOR</t>
  </si>
  <si>
    <t>SIZES</t>
  </si>
  <si>
    <t>TTL QTY</t>
  </si>
  <si>
    <t>MRP</t>
  </si>
  <si>
    <t>TTL AMOUNT</t>
  </si>
  <si>
    <t>KORA RETAILS PVT LTD (DISPATCH DETAILS DATE : 30/04/2026)</t>
  </si>
  <si>
    <t>SULTAN</t>
  </si>
  <si>
    <t>ANTIQUE</t>
  </si>
  <si>
    <t>BLACK</t>
  </si>
  <si>
    <t>TAN</t>
  </si>
  <si>
    <t>BEIGE</t>
  </si>
  <si>
    <t>GREY</t>
  </si>
  <si>
    <t>GOLD</t>
  </si>
  <si>
    <t>TOTAL DETAILS</t>
  </si>
  <si>
    <t>KORA RETAILS PVT LTD (DISPATCH DETAILS DATE : 27/04/2026)</t>
  </si>
  <si>
    <t>WHITE</t>
  </si>
  <si>
    <t>OF - WHITE</t>
  </si>
  <si>
    <t>GUNMETAL</t>
  </si>
  <si>
    <t>CREAM</t>
  </si>
  <si>
    <t>KORA RETAILS PVT LTD (DISPATCH DETAILS DATE : 02/05/2026)</t>
  </si>
  <si>
    <t>BROWN</t>
  </si>
  <si>
    <t>BLUE</t>
  </si>
  <si>
    <t>KORA RETAILS PVT LTD (DISPATCH DETAILS DATE : 11/05/2026)</t>
  </si>
  <si>
    <t>KORA RETAILS PVT LTD (DISPATCH DETAILS DATE : 19/05/2026)</t>
  </si>
  <si>
    <t>D-BROWN</t>
  </si>
  <si>
    <t>CATOGARY</t>
  </si>
  <si>
    <t>SUB - CATO</t>
  </si>
  <si>
    <t>CHAPPAL</t>
  </si>
  <si>
    <t>MUEL</t>
  </si>
  <si>
    <t>BELLARINA</t>
  </si>
  <si>
    <t>FULL CLOSE</t>
  </si>
  <si>
    <t>BURMY</t>
  </si>
  <si>
    <t>HALF SHOE</t>
  </si>
  <si>
    <t>SANDAL</t>
  </si>
  <si>
    <t>KORA RETAILS PVT LTD (DISPATCH DETAILS DATE : 21/05/2026)</t>
  </si>
  <si>
    <t>KORA RETAILS PVT LTD (DISPATCH DETAILS DATE : 23/05/2026)</t>
  </si>
  <si>
    <t>LASTIC PATTA</t>
  </si>
  <si>
    <t>PISTA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</si>
</sst>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0" xfId="0" applyFont="1"/>
    <xf numFmtId="0" fontId="2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A14" workbookViewId="0">
      <selection activeCell="L20" sqref="L20"/>
    </sheetView>
  </sheetViews>
  <sheetFormatPr defaultRowHeight="15" x14ac:dyDescent="0.25"/>
  <cols>
    <col min="1" max="1" width="16.7109375" style="5" customWidth="1"/>
    <col min="2" max="2" width="15.5703125" bestFit="1" customWidth="1"/>
    <col min="3" max="3" width="21.28515625" customWidth="1"/>
    <col min="4" max="10" width="9.42578125" bestFit="1" customWidth="1"/>
    <col min="11" max="11" width="15.42578125" bestFit="1" customWidth="1"/>
    <col min="12" max="12" width="14.28515625" customWidth="1"/>
    <col min="13" max="13" width="25.140625" bestFit="1" customWidth="1"/>
  </cols>
  <sheetData>
    <row r="1" spans="1:13" ht="29.25" thickBot="1" x14ac:dyDescent="0.3">
      <c r="A1" s="63" t="s">
        <v>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ht="7.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</row>
    <row r="3" spans="1:13" ht="29.25" thickBot="1" x14ac:dyDescent="0.3">
      <c r="A3" s="7"/>
      <c r="B3" s="8"/>
      <c r="C3" s="8"/>
      <c r="D3" s="51" t="s">
        <v>3</v>
      </c>
      <c r="E3" s="52"/>
      <c r="F3" s="52"/>
      <c r="G3" s="52"/>
      <c r="H3" s="52"/>
      <c r="I3" s="52"/>
      <c r="J3" s="53"/>
      <c r="K3" s="8"/>
      <c r="L3" s="8"/>
      <c r="M3" s="9"/>
    </row>
    <row r="4" spans="1:13" ht="29.25" thickBot="1" x14ac:dyDescent="0.3">
      <c r="A4" s="7" t="s">
        <v>0</v>
      </c>
      <c r="B4" s="8" t="s">
        <v>1</v>
      </c>
      <c r="C4" s="8" t="s">
        <v>2</v>
      </c>
      <c r="D4" s="8">
        <v>36</v>
      </c>
      <c r="E4" s="8">
        <v>37</v>
      </c>
      <c r="F4" s="8">
        <v>38</v>
      </c>
      <c r="G4" s="8">
        <v>39</v>
      </c>
      <c r="H4" s="8">
        <v>40</v>
      </c>
      <c r="I4" s="8">
        <v>41</v>
      </c>
      <c r="J4" s="8">
        <v>42</v>
      </c>
      <c r="K4" s="8" t="s">
        <v>4</v>
      </c>
      <c r="L4" s="8" t="s">
        <v>5</v>
      </c>
      <c r="M4" s="9" t="s">
        <v>6</v>
      </c>
    </row>
    <row r="5" spans="1:13" ht="28.5" x14ac:dyDescent="0.25">
      <c r="A5" s="66">
        <v>1</v>
      </c>
      <c r="B5" s="60">
        <v>1383</v>
      </c>
      <c r="C5" s="10" t="s">
        <v>8</v>
      </c>
      <c r="D5" s="10">
        <v>0</v>
      </c>
      <c r="E5" s="10">
        <v>3</v>
      </c>
      <c r="F5" s="10">
        <v>3</v>
      </c>
      <c r="G5" s="10">
        <v>3</v>
      </c>
      <c r="H5" s="10">
        <v>3</v>
      </c>
      <c r="I5" s="10">
        <v>3</v>
      </c>
      <c r="J5" s="10">
        <v>3</v>
      </c>
      <c r="K5" s="10">
        <f>SUBTOTAL(9,D5:J5)</f>
        <v>18</v>
      </c>
      <c r="L5" s="10">
        <v>1699</v>
      </c>
      <c r="M5" s="11">
        <f>L5*K5</f>
        <v>30582</v>
      </c>
    </row>
    <row r="6" spans="1:13" ht="29.25" thickBot="1" x14ac:dyDescent="0.3">
      <c r="A6" s="67"/>
      <c r="B6" s="61"/>
      <c r="C6" s="3" t="s">
        <v>9</v>
      </c>
      <c r="D6" s="3">
        <v>0</v>
      </c>
      <c r="E6" s="3">
        <v>2</v>
      </c>
      <c r="F6" s="3">
        <v>2</v>
      </c>
      <c r="G6" s="3">
        <v>2</v>
      </c>
      <c r="H6" s="3">
        <v>2</v>
      </c>
      <c r="I6" s="3">
        <v>2</v>
      </c>
      <c r="J6" s="3">
        <v>2</v>
      </c>
      <c r="K6" s="3">
        <f t="shared" ref="K6:K19" si="0">SUBTOTAL(9,D6:J6)</f>
        <v>12</v>
      </c>
      <c r="L6" s="3">
        <v>1699</v>
      </c>
      <c r="M6" s="4">
        <f t="shared" ref="M6:M19" si="1">L6*K6</f>
        <v>20388</v>
      </c>
    </row>
    <row r="7" spans="1:13" ht="28.5" x14ac:dyDescent="0.25">
      <c r="A7" s="66">
        <v>2</v>
      </c>
      <c r="B7" s="60">
        <v>1384</v>
      </c>
      <c r="C7" s="10" t="s">
        <v>10</v>
      </c>
      <c r="D7" s="10">
        <v>0</v>
      </c>
      <c r="E7" s="10">
        <v>3</v>
      </c>
      <c r="F7" s="10">
        <v>3</v>
      </c>
      <c r="G7" s="10">
        <v>3</v>
      </c>
      <c r="H7" s="10">
        <v>3</v>
      </c>
      <c r="I7" s="10">
        <v>3</v>
      </c>
      <c r="J7" s="10">
        <v>3</v>
      </c>
      <c r="K7" s="10">
        <f t="shared" si="0"/>
        <v>18</v>
      </c>
      <c r="L7" s="10">
        <v>1699</v>
      </c>
      <c r="M7" s="11">
        <f t="shared" si="1"/>
        <v>30582</v>
      </c>
    </row>
    <row r="8" spans="1:13" ht="29.25" thickBot="1" x14ac:dyDescent="0.3">
      <c r="A8" s="67"/>
      <c r="B8" s="61"/>
      <c r="C8" s="3" t="s">
        <v>9</v>
      </c>
      <c r="D8" s="3">
        <v>0</v>
      </c>
      <c r="E8" s="3">
        <v>3</v>
      </c>
      <c r="F8" s="3">
        <v>3</v>
      </c>
      <c r="G8" s="3">
        <v>3</v>
      </c>
      <c r="H8" s="3">
        <v>3</v>
      </c>
      <c r="I8" s="3">
        <v>3</v>
      </c>
      <c r="J8" s="3">
        <v>3</v>
      </c>
      <c r="K8" s="3">
        <f t="shared" si="0"/>
        <v>18</v>
      </c>
      <c r="L8" s="3">
        <v>1699</v>
      </c>
      <c r="M8" s="4">
        <f t="shared" si="1"/>
        <v>30582</v>
      </c>
    </row>
    <row r="9" spans="1:13" ht="28.5" x14ac:dyDescent="0.25">
      <c r="A9" s="66">
        <v>3</v>
      </c>
      <c r="B9" s="60">
        <v>1570</v>
      </c>
      <c r="C9" s="10" t="s">
        <v>10</v>
      </c>
      <c r="D9" s="10">
        <v>0</v>
      </c>
      <c r="E9" s="10">
        <v>4</v>
      </c>
      <c r="F9" s="10">
        <v>4</v>
      </c>
      <c r="G9" s="10">
        <v>4</v>
      </c>
      <c r="H9" s="10">
        <v>4</v>
      </c>
      <c r="I9" s="10">
        <v>4</v>
      </c>
      <c r="J9" s="10">
        <v>4</v>
      </c>
      <c r="K9" s="10">
        <f t="shared" si="0"/>
        <v>24</v>
      </c>
      <c r="L9" s="10">
        <v>1499</v>
      </c>
      <c r="M9" s="11">
        <f t="shared" si="1"/>
        <v>35976</v>
      </c>
    </row>
    <row r="10" spans="1:13" ht="29.25" thickBot="1" x14ac:dyDescent="0.3">
      <c r="A10" s="67"/>
      <c r="B10" s="61"/>
      <c r="C10" s="3" t="s">
        <v>11</v>
      </c>
      <c r="D10" s="3">
        <v>0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f t="shared" si="0"/>
        <v>6</v>
      </c>
      <c r="L10" s="3">
        <v>1499</v>
      </c>
      <c r="M10" s="4">
        <f t="shared" si="1"/>
        <v>8994</v>
      </c>
    </row>
    <row r="11" spans="1:13" ht="28.5" x14ac:dyDescent="0.25">
      <c r="A11" s="66">
        <v>4</v>
      </c>
      <c r="B11" s="60">
        <v>2110</v>
      </c>
      <c r="C11" s="10" t="s">
        <v>10</v>
      </c>
      <c r="D11" s="10">
        <v>0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f t="shared" si="0"/>
        <v>6</v>
      </c>
      <c r="L11" s="10">
        <v>1299</v>
      </c>
      <c r="M11" s="11">
        <f t="shared" si="1"/>
        <v>7794</v>
      </c>
    </row>
    <row r="12" spans="1:13" ht="29.25" thickBot="1" x14ac:dyDescent="0.3">
      <c r="A12" s="67"/>
      <c r="B12" s="61"/>
      <c r="C12" s="3" t="s">
        <v>12</v>
      </c>
      <c r="D12" s="3">
        <v>0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f t="shared" si="0"/>
        <v>6</v>
      </c>
      <c r="L12" s="3">
        <v>1299</v>
      </c>
      <c r="M12" s="4">
        <f t="shared" si="1"/>
        <v>7794</v>
      </c>
    </row>
    <row r="13" spans="1:13" ht="28.5" x14ac:dyDescent="0.25">
      <c r="A13" s="48">
        <v>5</v>
      </c>
      <c r="B13" s="60">
        <v>2130</v>
      </c>
      <c r="C13" s="10" t="s">
        <v>9</v>
      </c>
      <c r="D13" s="10">
        <v>0</v>
      </c>
      <c r="E13" s="10">
        <v>5</v>
      </c>
      <c r="F13" s="10">
        <v>6</v>
      </c>
      <c r="G13" s="10">
        <v>6</v>
      </c>
      <c r="H13" s="10">
        <v>4</v>
      </c>
      <c r="I13" s="10">
        <v>4</v>
      </c>
      <c r="J13" s="10">
        <v>0</v>
      </c>
      <c r="K13" s="10">
        <f t="shared" si="0"/>
        <v>25</v>
      </c>
      <c r="L13" s="10">
        <v>1899</v>
      </c>
      <c r="M13" s="11">
        <f t="shared" si="1"/>
        <v>47475</v>
      </c>
    </row>
    <row r="14" spans="1:13" ht="28.5" x14ac:dyDescent="0.25">
      <c r="A14" s="50"/>
      <c r="B14" s="62"/>
      <c r="C14" s="1" t="s">
        <v>13</v>
      </c>
      <c r="D14" s="1">
        <v>0</v>
      </c>
      <c r="E14" s="1">
        <v>5</v>
      </c>
      <c r="F14" s="1">
        <v>6</v>
      </c>
      <c r="G14" s="1">
        <v>6</v>
      </c>
      <c r="H14" s="1">
        <v>4</v>
      </c>
      <c r="I14" s="1">
        <v>4</v>
      </c>
      <c r="J14" s="1">
        <v>0</v>
      </c>
      <c r="K14" s="1">
        <f t="shared" si="0"/>
        <v>25</v>
      </c>
      <c r="L14" s="1">
        <v>1899</v>
      </c>
      <c r="M14" s="2">
        <f t="shared" si="1"/>
        <v>47475</v>
      </c>
    </row>
    <row r="15" spans="1:13" ht="29.25" thickBot="1" x14ac:dyDescent="0.3">
      <c r="A15" s="49"/>
      <c r="B15" s="61"/>
      <c r="C15" s="3" t="s">
        <v>10</v>
      </c>
      <c r="D15" s="3">
        <v>0</v>
      </c>
      <c r="E15" s="3">
        <v>2</v>
      </c>
      <c r="F15" s="3">
        <v>2</v>
      </c>
      <c r="G15" s="3">
        <v>1</v>
      </c>
      <c r="H15" s="3">
        <v>1</v>
      </c>
      <c r="I15" s="3">
        <v>1</v>
      </c>
      <c r="J15" s="3">
        <v>0</v>
      </c>
      <c r="K15" s="3">
        <f t="shared" si="0"/>
        <v>7</v>
      </c>
      <c r="L15" s="3">
        <v>1899</v>
      </c>
      <c r="M15" s="4">
        <f t="shared" si="1"/>
        <v>13293</v>
      </c>
    </row>
    <row r="16" spans="1:13" ht="29.25" thickBot="1" x14ac:dyDescent="0.3">
      <c r="A16" s="7">
        <v>6</v>
      </c>
      <c r="B16" s="8">
        <v>2052</v>
      </c>
      <c r="C16" s="8" t="s">
        <v>12</v>
      </c>
      <c r="D16" s="8">
        <v>0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0</v>
      </c>
      <c r="K16" s="8">
        <f t="shared" si="0"/>
        <v>5</v>
      </c>
      <c r="L16" s="8">
        <v>1299</v>
      </c>
      <c r="M16" s="9">
        <f t="shared" si="1"/>
        <v>6495</v>
      </c>
    </row>
    <row r="17" spans="1:13" ht="28.5" x14ac:dyDescent="0.25">
      <c r="A17" s="48">
        <v>7</v>
      </c>
      <c r="B17" s="60">
        <v>2100</v>
      </c>
      <c r="C17" s="10" t="s">
        <v>9</v>
      </c>
      <c r="D17" s="10">
        <v>0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0</v>
      </c>
      <c r="K17" s="10">
        <f t="shared" si="0"/>
        <v>5</v>
      </c>
      <c r="L17" s="10">
        <v>1999</v>
      </c>
      <c r="M17" s="11">
        <f t="shared" si="1"/>
        <v>9995</v>
      </c>
    </row>
    <row r="18" spans="1:13" ht="29.25" thickBot="1" x14ac:dyDescent="0.3">
      <c r="A18" s="49"/>
      <c r="B18" s="61"/>
      <c r="C18" s="3" t="s">
        <v>14</v>
      </c>
      <c r="D18" s="3">
        <v>0</v>
      </c>
      <c r="E18" s="3">
        <v>1</v>
      </c>
      <c r="F18" s="3">
        <v>1</v>
      </c>
      <c r="G18" s="3">
        <v>1</v>
      </c>
      <c r="H18" s="3">
        <v>2</v>
      </c>
      <c r="I18" s="3">
        <v>0</v>
      </c>
      <c r="J18" s="3">
        <v>0</v>
      </c>
      <c r="K18" s="3">
        <f t="shared" si="0"/>
        <v>5</v>
      </c>
      <c r="L18" s="3">
        <v>1999</v>
      </c>
      <c r="M18" s="4">
        <f t="shared" si="1"/>
        <v>9995</v>
      </c>
    </row>
    <row r="19" spans="1:13" ht="29.25" thickBot="1" x14ac:dyDescent="0.3">
      <c r="A19" s="7">
        <v>8</v>
      </c>
      <c r="B19" s="8">
        <v>1212</v>
      </c>
      <c r="C19" s="8" t="s">
        <v>10</v>
      </c>
      <c r="D19" s="8">
        <v>0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f t="shared" si="0"/>
        <v>6</v>
      </c>
      <c r="L19" s="8">
        <v>1699</v>
      </c>
      <c r="M19" s="9">
        <f t="shared" si="1"/>
        <v>10194</v>
      </c>
    </row>
    <row r="20" spans="1:13" ht="37.5" customHeight="1" thickBot="1" x14ac:dyDescent="0.3">
      <c r="A20" s="57" t="s">
        <v>15</v>
      </c>
      <c r="B20" s="58"/>
      <c r="C20" s="59"/>
      <c r="D20" s="16">
        <f>SUM(D5:D19)</f>
        <v>0</v>
      </c>
      <c r="E20" s="17">
        <f t="shared" ref="E20:M20" si="2">SUM(E5:E19)</f>
        <v>34</v>
      </c>
      <c r="F20" s="17">
        <f t="shared" si="2"/>
        <v>36</v>
      </c>
      <c r="G20" s="17">
        <f t="shared" si="2"/>
        <v>35</v>
      </c>
      <c r="H20" s="17">
        <f t="shared" si="2"/>
        <v>32</v>
      </c>
      <c r="I20" s="17">
        <f t="shared" si="2"/>
        <v>30</v>
      </c>
      <c r="J20" s="17">
        <f t="shared" si="2"/>
        <v>19</v>
      </c>
      <c r="K20" s="18">
        <f t="shared" si="2"/>
        <v>186</v>
      </c>
      <c r="L20" s="17"/>
      <c r="M20" s="18">
        <f t="shared" si="2"/>
        <v>317614</v>
      </c>
    </row>
    <row r="21" spans="1:13" ht="29.25" thickBot="1" x14ac:dyDescent="0.3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</row>
  </sheetData>
  <mergeCells count="16">
    <mergeCell ref="A1:M1"/>
    <mergeCell ref="A5:A6"/>
    <mergeCell ref="A7:A8"/>
    <mergeCell ref="A9:A10"/>
    <mergeCell ref="A11:A12"/>
    <mergeCell ref="B5:B6"/>
    <mergeCell ref="B7:B8"/>
    <mergeCell ref="B9:B10"/>
    <mergeCell ref="B11:B12"/>
    <mergeCell ref="A17:A18"/>
    <mergeCell ref="A13:A15"/>
    <mergeCell ref="D3:J3"/>
    <mergeCell ref="A2:M2"/>
    <mergeCell ref="A20:C20"/>
    <mergeCell ref="B17:B18"/>
    <mergeCell ref="B13:B15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opLeftCell="A8" workbookViewId="0">
      <selection sqref="A1:M1"/>
    </sheetView>
  </sheetViews>
  <sheetFormatPr defaultRowHeight="15" x14ac:dyDescent="0.25"/>
  <cols>
    <col min="1" max="1" width="16.7109375" style="5" customWidth="1"/>
    <col min="2" max="2" width="15.5703125" bestFit="1" customWidth="1"/>
    <col min="3" max="3" width="21.28515625" customWidth="1"/>
    <col min="4" max="10" width="9.42578125" bestFit="1" customWidth="1"/>
    <col min="11" max="11" width="15.42578125" bestFit="1" customWidth="1"/>
    <col min="12" max="12" width="14.28515625" customWidth="1"/>
    <col min="13" max="13" width="25.140625" bestFit="1" customWidth="1"/>
  </cols>
  <sheetData>
    <row r="1" spans="1:13" ht="29.25" thickBot="1" x14ac:dyDescent="0.3">
      <c r="A1" s="63" t="s">
        <v>16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ht="7.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</row>
    <row r="3" spans="1:13" ht="29.25" thickBot="1" x14ac:dyDescent="0.3">
      <c r="A3" s="7"/>
      <c r="B3" s="8"/>
      <c r="C3" s="8"/>
      <c r="D3" s="51" t="s">
        <v>3</v>
      </c>
      <c r="E3" s="52"/>
      <c r="F3" s="52"/>
      <c r="G3" s="52"/>
      <c r="H3" s="52"/>
      <c r="I3" s="52"/>
      <c r="J3" s="53"/>
      <c r="K3" s="8"/>
      <c r="L3" s="8"/>
      <c r="M3" s="9"/>
    </row>
    <row r="4" spans="1:13" ht="29.25" thickBot="1" x14ac:dyDescent="0.3">
      <c r="A4" s="7" t="s">
        <v>0</v>
      </c>
      <c r="B4" s="8" t="s">
        <v>1</v>
      </c>
      <c r="C4" s="8" t="s">
        <v>2</v>
      </c>
      <c r="D4" s="6">
        <v>36</v>
      </c>
      <c r="E4" s="6">
        <v>37</v>
      </c>
      <c r="F4" s="6">
        <v>38</v>
      </c>
      <c r="G4" s="6">
        <v>39</v>
      </c>
      <c r="H4" s="6">
        <v>40</v>
      </c>
      <c r="I4" s="6">
        <v>41</v>
      </c>
      <c r="J4" s="6">
        <v>42</v>
      </c>
      <c r="K4" s="8" t="s">
        <v>4</v>
      </c>
      <c r="L4" s="8" t="s">
        <v>5</v>
      </c>
      <c r="M4" s="9" t="s">
        <v>6</v>
      </c>
    </row>
    <row r="5" spans="1:13" ht="28.5" x14ac:dyDescent="0.25">
      <c r="A5" s="66">
        <v>1</v>
      </c>
      <c r="B5" s="60">
        <v>2004</v>
      </c>
      <c r="C5" s="22" t="s">
        <v>17</v>
      </c>
      <c r="D5" s="26">
        <v>0</v>
      </c>
      <c r="E5" s="10">
        <v>1</v>
      </c>
      <c r="F5" s="10">
        <v>2</v>
      </c>
      <c r="G5" s="10">
        <v>2</v>
      </c>
      <c r="H5" s="10">
        <v>1</v>
      </c>
      <c r="I5" s="10">
        <v>1</v>
      </c>
      <c r="J5" s="11">
        <v>0</v>
      </c>
      <c r="K5" s="24">
        <f>SUBTOTAL(9,D5:J5)</f>
        <v>7</v>
      </c>
      <c r="L5" s="10">
        <v>1299</v>
      </c>
      <c r="M5" s="11">
        <f>L5*K5</f>
        <v>9093</v>
      </c>
    </row>
    <row r="6" spans="1:13" ht="29.25" thickBot="1" x14ac:dyDescent="0.3">
      <c r="A6" s="67"/>
      <c r="B6" s="61"/>
      <c r="C6" s="23" t="s">
        <v>10</v>
      </c>
      <c r="D6" s="27">
        <v>0</v>
      </c>
      <c r="E6" s="12">
        <v>1</v>
      </c>
      <c r="F6" s="12">
        <v>2</v>
      </c>
      <c r="G6" s="12">
        <v>2</v>
      </c>
      <c r="H6" s="12">
        <v>1</v>
      </c>
      <c r="I6" s="12">
        <v>1</v>
      </c>
      <c r="J6" s="4">
        <v>0</v>
      </c>
      <c r="K6" s="25">
        <f t="shared" ref="K6:K16" si="0">SUBTOTAL(9,D6:J6)</f>
        <v>7</v>
      </c>
      <c r="L6" s="12">
        <v>1299</v>
      </c>
      <c r="M6" s="4">
        <f t="shared" ref="M6:M16" si="1">L6*K6</f>
        <v>9093</v>
      </c>
    </row>
    <row r="7" spans="1:13" ht="28.5" x14ac:dyDescent="0.25">
      <c r="A7" s="66">
        <v>2</v>
      </c>
      <c r="B7" s="60">
        <v>2039</v>
      </c>
      <c r="C7" s="10" t="s">
        <v>12</v>
      </c>
      <c r="D7" s="26">
        <v>0</v>
      </c>
      <c r="E7" s="10">
        <v>1</v>
      </c>
      <c r="F7" s="10">
        <v>2</v>
      </c>
      <c r="G7" s="10">
        <v>2</v>
      </c>
      <c r="H7" s="10">
        <v>1</v>
      </c>
      <c r="I7" s="10">
        <v>1</v>
      </c>
      <c r="J7" s="11">
        <v>0</v>
      </c>
      <c r="K7" s="10">
        <f t="shared" si="0"/>
        <v>7</v>
      </c>
      <c r="L7" s="10">
        <v>1999</v>
      </c>
      <c r="M7" s="11">
        <f t="shared" si="1"/>
        <v>13993</v>
      </c>
    </row>
    <row r="8" spans="1:13" ht="29.25" thickBot="1" x14ac:dyDescent="0.3">
      <c r="A8" s="67"/>
      <c r="B8" s="61"/>
      <c r="C8" s="12" t="s">
        <v>10</v>
      </c>
      <c r="D8" s="27">
        <v>0</v>
      </c>
      <c r="E8" s="12">
        <v>1</v>
      </c>
      <c r="F8" s="12">
        <v>2</v>
      </c>
      <c r="G8" s="12">
        <v>2</v>
      </c>
      <c r="H8" s="12">
        <v>1</v>
      </c>
      <c r="I8" s="12">
        <v>1</v>
      </c>
      <c r="J8" s="4">
        <v>0</v>
      </c>
      <c r="K8" s="12">
        <f t="shared" si="0"/>
        <v>7</v>
      </c>
      <c r="L8" s="12">
        <v>1999</v>
      </c>
      <c r="M8" s="4">
        <f t="shared" si="1"/>
        <v>13993</v>
      </c>
    </row>
    <row r="9" spans="1:13" ht="29.25" thickBot="1" x14ac:dyDescent="0.3">
      <c r="A9" s="7">
        <v>3</v>
      </c>
      <c r="B9" s="8">
        <v>1247</v>
      </c>
      <c r="C9" s="8" t="s">
        <v>19</v>
      </c>
      <c r="D9" s="8">
        <v>0</v>
      </c>
      <c r="E9" s="8">
        <v>1</v>
      </c>
      <c r="F9" s="8">
        <v>2</v>
      </c>
      <c r="G9" s="8">
        <v>2</v>
      </c>
      <c r="H9" s="8">
        <v>1</v>
      </c>
      <c r="I9" s="8">
        <v>1</v>
      </c>
      <c r="J9" s="8">
        <v>0</v>
      </c>
      <c r="K9" s="8">
        <f t="shared" si="0"/>
        <v>7</v>
      </c>
      <c r="L9" s="8">
        <v>1899</v>
      </c>
      <c r="M9" s="9">
        <f t="shared" si="1"/>
        <v>13293</v>
      </c>
    </row>
    <row r="10" spans="1:13" ht="29.25" thickBot="1" x14ac:dyDescent="0.3">
      <c r="A10" s="7">
        <v>4</v>
      </c>
      <c r="B10" s="8">
        <v>1244</v>
      </c>
      <c r="C10" s="8" t="s">
        <v>9</v>
      </c>
      <c r="D10" s="8">
        <v>0</v>
      </c>
      <c r="E10" s="8">
        <v>1</v>
      </c>
      <c r="F10" s="8">
        <v>2</v>
      </c>
      <c r="G10" s="8">
        <v>2</v>
      </c>
      <c r="H10" s="8">
        <v>1</v>
      </c>
      <c r="I10" s="8">
        <v>1</v>
      </c>
      <c r="J10" s="8">
        <v>0</v>
      </c>
      <c r="K10" s="8">
        <f t="shared" si="0"/>
        <v>7</v>
      </c>
      <c r="L10" s="8">
        <v>1899</v>
      </c>
      <c r="M10" s="9">
        <f t="shared" si="1"/>
        <v>13293</v>
      </c>
    </row>
    <row r="11" spans="1:13" ht="29.25" thickBot="1" x14ac:dyDescent="0.3">
      <c r="A11" s="7">
        <v>5</v>
      </c>
      <c r="B11" s="8">
        <v>2006</v>
      </c>
      <c r="C11" s="10" t="s">
        <v>20</v>
      </c>
      <c r="D11" s="10">
        <v>0</v>
      </c>
      <c r="E11" s="10">
        <v>18</v>
      </c>
      <c r="F11" s="10">
        <v>21</v>
      </c>
      <c r="G11" s="10">
        <v>23</v>
      </c>
      <c r="H11" s="10">
        <v>18</v>
      </c>
      <c r="I11" s="10">
        <v>18</v>
      </c>
      <c r="J11" s="10">
        <v>0</v>
      </c>
      <c r="K11" s="10">
        <f t="shared" si="0"/>
        <v>98</v>
      </c>
      <c r="L11" s="10">
        <v>1299</v>
      </c>
      <c r="M11" s="11">
        <f t="shared" si="1"/>
        <v>127302</v>
      </c>
    </row>
    <row r="12" spans="1:13" ht="29.25" thickBot="1" x14ac:dyDescent="0.3">
      <c r="A12" s="7">
        <v>6</v>
      </c>
      <c r="B12" s="8">
        <v>1234</v>
      </c>
      <c r="C12" s="12" t="s">
        <v>10</v>
      </c>
      <c r="D12" s="12">
        <v>0</v>
      </c>
      <c r="E12" s="12">
        <v>16</v>
      </c>
      <c r="F12" s="12">
        <v>20</v>
      </c>
      <c r="G12" s="12">
        <v>20</v>
      </c>
      <c r="H12" s="12">
        <v>15</v>
      </c>
      <c r="I12" s="12">
        <v>17</v>
      </c>
      <c r="J12" s="12">
        <v>10</v>
      </c>
      <c r="K12" s="12">
        <f t="shared" si="0"/>
        <v>98</v>
      </c>
      <c r="L12" s="12">
        <v>1699</v>
      </c>
      <c r="M12" s="4">
        <f t="shared" si="1"/>
        <v>166502</v>
      </c>
    </row>
    <row r="13" spans="1:13" ht="29.25" thickBot="1" x14ac:dyDescent="0.3">
      <c r="A13" s="7">
        <v>7</v>
      </c>
      <c r="B13" s="8">
        <v>1496</v>
      </c>
      <c r="C13" s="8" t="s">
        <v>10</v>
      </c>
      <c r="D13" s="8">
        <v>0</v>
      </c>
      <c r="E13" s="8">
        <v>1</v>
      </c>
      <c r="F13" s="8">
        <v>2</v>
      </c>
      <c r="G13" s="8">
        <v>1</v>
      </c>
      <c r="H13" s="8">
        <v>1</v>
      </c>
      <c r="I13" s="8">
        <v>1</v>
      </c>
      <c r="J13" s="8">
        <v>0</v>
      </c>
      <c r="K13" s="8">
        <f t="shared" si="0"/>
        <v>6</v>
      </c>
      <c r="L13" s="8">
        <v>1299</v>
      </c>
      <c r="M13" s="9">
        <f t="shared" si="1"/>
        <v>7794</v>
      </c>
    </row>
    <row r="14" spans="1:13" ht="28.5" x14ac:dyDescent="0.25">
      <c r="A14" s="48">
        <v>8</v>
      </c>
      <c r="B14" s="60">
        <v>2031</v>
      </c>
      <c r="C14" s="10" t="s">
        <v>10</v>
      </c>
      <c r="D14" s="10">
        <v>0</v>
      </c>
      <c r="E14" s="10">
        <v>8</v>
      </c>
      <c r="F14" s="10">
        <v>11</v>
      </c>
      <c r="G14" s="10">
        <v>12</v>
      </c>
      <c r="H14" s="10">
        <v>8</v>
      </c>
      <c r="I14" s="10">
        <v>8</v>
      </c>
      <c r="J14" s="10">
        <v>0</v>
      </c>
      <c r="K14" s="10">
        <f t="shared" si="0"/>
        <v>47</v>
      </c>
      <c r="L14" s="10">
        <v>1799</v>
      </c>
      <c r="M14" s="11">
        <f t="shared" si="1"/>
        <v>84553</v>
      </c>
    </row>
    <row r="15" spans="1:13" ht="29.25" thickBot="1" x14ac:dyDescent="0.3">
      <c r="A15" s="49"/>
      <c r="B15" s="61"/>
      <c r="C15" s="12" t="s">
        <v>20</v>
      </c>
      <c r="D15" s="12">
        <v>0</v>
      </c>
      <c r="E15" s="12">
        <v>10</v>
      </c>
      <c r="F15" s="12">
        <v>11</v>
      </c>
      <c r="G15" s="12">
        <v>14</v>
      </c>
      <c r="H15" s="12">
        <v>18</v>
      </c>
      <c r="I15" s="12">
        <v>9</v>
      </c>
      <c r="J15" s="12">
        <v>0</v>
      </c>
      <c r="K15" s="12">
        <f t="shared" si="0"/>
        <v>62</v>
      </c>
      <c r="L15" s="12">
        <v>1799</v>
      </c>
      <c r="M15" s="4">
        <f t="shared" si="1"/>
        <v>111538</v>
      </c>
    </row>
    <row r="16" spans="1:13" ht="29.25" thickBot="1" x14ac:dyDescent="0.3">
      <c r="A16" s="7">
        <v>9</v>
      </c>
      <c r="B16" s="8">
        <v>1057</v>
      </c>
      <c r="C16" s="8" t="s">
        <v>18</v>
      </c>
      <c r="D16" s="8">
        <v>1</v>
      </c>
      <c r="E16" s="8">
        <v>1</v>
      </c>
      <c r="F16" s="8">
        <v>2</v>
      </c>
      <c r="G16" s="8">
        <v>2</v>
      </c>
      <c r="H16" s="8">
        <v>1</v>
      </c>
      <c r="I16" s="8">
        <v>1</v>
      </c>
      <c r="J16" s="8">
        <v>0</v>
      </c>
      <c r="K16" s="8">
        <f t="shared" si="0"/>
        <v>8</v>
      </c>
      <c r="L16" s="8">
        <v>1499</v>
      </c>
      <c r="M16" s="9">
        <f t="shared" si="1"/>
        <v>11992</v>
      </c>
    </row>
    <row r="17" spans="1:13" ht="37.5" customHeight="1" thickBot="1" x14ac:dyDescent="0.3">
      <c r="A17" s="57" t="s">
        <v>15</v>
      </c>
      <c r="B17" s="58"/>
      <c r="C17" s="59"/>
      <c r="D17" s="16">
        <f>SUM(D5:D16)</f>
        <v>1</v>
      </c>
      <c r="E17" s="17">
        <f>SUM(E5:E16)</f>
        <v>60</v>
      </c>
      <c r="F17" s="17">
        <f t="shared" ref="F17:K17" si="2">SUM(F5:F16)</f>
        <v>79</v>
      </c>
      <c r="G17" s="17">
        <f t="shared" si="2"/>
        <v>84</v>
      </c>
      <c r="H17" s="17">
        <f t="shared" si="2"/>
        <v>67</v>
      </c>
      <c r="I17" s="17">
        <f t="shared" si="2"/>
        <v>60</v>
      </c>
      <c r="J17" s="17">
        <f t="shared" si="2"/>
        <v>10</v>
      </c>
      <c r="K17" s="18">
        <f t="shared" si="2"/>
        <v>361</v>
      </c>
      <c r="L17" s="17"/>
      <c r="M17" s="18">
        <f>SUM(M5:M16)</f>
        <v>582439</v>
      </c>
    </row>
    <row r="18" spans="1:13" ht="29.25" thickBot="1" x14ac:dyDescent="0.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</row>
  </sheetData>
  <mergeCells count="10">
    <mergeCell ref="A14:A15"/>
    <mergeCell ref="B14:B15"/>
    <mergeCell ref="A17:C17"/>
    <mergeCell ref="A1:M1"/>
    <mergeCell ref="A2:M2"/>
    <mergeCell ref="D3:J3"/>
    <mergeCell ref="A5:A6"/>
    <mergeCell ref="B5:B6"/>
    <mergeCell ref="A7:A8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sqref="A1:XFD1048576"/>
    </sheetView>
  </sheetViews>
  <sheetFormatPr defaultRowHeight="15" x14ac:dyDescent="0.25"/>
  <cols>
    <col min="1" max="1" width="16.7109375" style="5" customWidth="1"/>
    <col min="2" max="2" width="15.5703125" bestFit="1" customWidth="1"/>
    <col min="3" max="3" width="21.28515625" customWidth="1"/>
    <col min="4" max="10" width="9.42578125" bestFit="1" customWidth="1"/>
    <col min="11" max="11" width="15.42578125" bestFit="1" customWidth="1"/>
    <col min="12" max="12" width="14.28515625" customWidth="1"/>
    <col min="13" max="13" width="25.140625" bestFit="1" customWidth="1"/>
  </cols>
  <sheetData>
    <row r="1" spans="1:13" ht="29.25" thickBot="1" x14ac:dyDescent="0.3">
      <c r="A1" s="63" t="s">
        <v>21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ht="7.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</row>
    <row r="3" spans="1:13" ht="29.25" thickBot="1" x14ac:dyDescent="0.3">
      <c r="A3" s="7"/>
      <c r="B3" s="8"/>
      <c r="C3" s="8"/>
      <c r="D3" s="51" t="s">
        <v>3</v>
      </c>
      <c r="E3" s="52"/>
      <c r="F3" s="52"/>
      <c r="G3" s="52"/>
      <c r="H3" s="52"/>
      <c r="I3" s="52"/>
      <c r="J3" s="53"/>
      <c r="K3" s="8"/>
      <c r="L3" s="8"/>
      <c r="M3" s="9"/>
    </row>
    <row r="4" spans="1:13" ht="29.25" thickBot="1" x14ac:dyDescent="0.3">
      <c r="A4" s="7" t="s">
        <v>0</v>
      </c>
      <c r="B4" s="8" t="s">
        <v>1</v>
      </c>
      <c r="C4" s="8" t="s">
        <v>2</v>
      </c>
      <c r="D4" s="8">
        <v>36</v>
      </c>
      <c r="E4" s="8">
        <v>37</v>
      </c>
      <c r="F4" s="8">
        <v>38</v>
      </c>
      <c r="G4" s="8">
        <v>39</v>
      </c>
      <c r="H4" s="8">
        <v>40</v>
      </c>
      <c r="I4" s="8">
        <v>41</v>
      </c>
      <c r="J4" s="8">
        <v>42</v>
      </c>
      <c r="K4" s="8" t="s">
        <v>4</v>
      </c>
      <c r="L4" s="8" t="s">
        <v>5</v>
      </c>
      <c r="M4" s="9" t="s">
        <v>6</v>
      </c>
    </row>
    <row r="5" spans="1:13" ht="28.5" x14ac:dyDescent="0.25">
      <c r="A5" s="66">
        <v>1</v>
      </c>
      <c r="B5" s="60">
        <v>30002</v>
      </c>
      <c r="C5" s="20" t="s">
        <v>22</v>
      </c>
      <c r="D5" s="20">
        <v>0</v>
      </c>
      <c r="E5" s="20">
        <v>9</v>
      </c>
      <c r="F5" s="20">
        <v>9</v>
      </c>
      <c r="G5" s="20">
        <v>9</v>
      </c>
      <c r="H5" s="20">
        <v>9</v>
      </c>
      <c r="I5" s="20">
        <v>9</v>
      </c>
      <c r="J5" s="20">
        <v>9</v>
      </c>
      <c r="K5" s="20">
        <f>SUBTOTAL(9,D5:J5)</f>
        <v>54</v>
      </c>
      <c r="L5" s="20">
        <v>1999</v>
      </c>
      <c r="M5" s="11">
        <f>L5*K5</f>
        <v>107946</v>
      </c>
    </row>
    <row r="6" spans="1:13" ht="29.25" thickBot="1" x14ac:dyDescent="0.3">
      <c r="A6" s="67"/>
      <c r="B6" s="61"/>
      <c r="C6" s="21" t="s">
        <v>10</v>
      </c>
      <c r="D6" s="21">
        <v>0</v>
      </c>
      <c r="E6" s="21">
        <v>9</v>
      </c>
      <c r="F6" s="21">
        <v>9</v>
      </c>
      <c r="G6" s="21">
        <v>9</v>
      </c>
      <c r="H6" s="21">
        <v>9</v>
      </c>
      <c r="I6" s="21">
        <v>9</v>
      </c>
      <c r="J6" s="21">
        <v>9</v>
      </c>
      <c r="K6" s="21">
        <f t="shared" ref="K6:K12" si="0">SUBTOTAL(9,D6:J6)</f>
        <v>54</v>
      </c>
      <c r="L6" s="21">
        <v>1999</v>
      </c>
      <c r="M6" s="4">
        <f t="shared" ref="M6:M12" si="1">L6*K6</f>
        <v>107946</v>
      </c>
    </row>
    <row r="7" spans="1:13" ht="28.5" x14ac:dyDescent="0.25">
      <c r="A7" s="66">
        <v>2</v>
      </c>
      <c r="B7" s="60">
        <v>30003</v>
      </c>
      <c r="C7" s="20" t="s">
        <v>10</v>
      </c>
      <c r="D7" s="20">
        <v>0</v>
      </c>
      <c r="E7" s="20">
        <v>9</v>
      </c>
      <c r="F7" s="20">
        <v>9</v>
      </c>
      <c r="G7" s="20">
        <v>9</v>
      </c>
      <c r="H7" s="20">
        <v>9</v>
      </c>
      <c r="I7" s="20">
        <v>9</v>
      </c>
      <c r="J7" s="20">
        <v>9</v>
      </c>
      <c r="K7" s="20">
        <f t="shared" si="0"/>
        <v>54</v>
      </c>
      <c r="L7" s="20">
        <v>2199</v>
      </c>
      <c r="M7" s="11">
        <f t="shared" si="1"/>
        <v>118746</v>
      </c>
    </row>
    <row r="8" spans="1:13" ht="29.25" thickBot="1" x14ac:dyDescent="0.3">
      <c r="A8" s="67"/>
      <c r="B8" s="61"/>
      <c r="C8" s="21" t="s">
        <v>12</v>
      </c>
      <c r="D8" s="21">
        <v>0</v>
      </c>
      <c r="E8" s="21">
        <v>9</v>
      </c>
      <c r="F8" s="21">
        <v>9</v>
      </c>
      <c r="G8" s="21">
        <v>9</v>
      </c>
      <c r="H8" s="21">
        <v>9</v>
      </c>
      <c r="I8" s="21">
        <v>9</v>
      </c>
      <c r="J8" s="21">
        <v>9</v>
      </c>
      <c r="K8" s="21">
        <f t="shared" si="0"/>
        <v>54</v>
      </c>
      <c r="L8" s="21">
        <v>2199</v>
      </c>
      <c r="M8" s="4">
        <f t="shared" si="1"/>
        <v>118746</v>
      </c>
    </row>
    <row r="9" spans="1:13" ht="28.5" x14ac:dyDescent="0.25">
      <c r="A9" s="66">
        <v>3</v>
      </c>
      <c r="B9" s="60">
        <v>20003</v>
      </c>
      <c r="C9" s="20" t="s">
        <v>10</v>
      </c>
      <c r="D9" s="20">
        <v>0</v>
      </c>
      <c r="E9" s="20">
        <v>9</v>
      </c>
      <c r="F9" s="20">
        <v>9</v>
      </c>
      <c r="G9" s="20">
        <v>19</v>
      </c>
      <c r="H9" s="20">
        <v>19</v>
      </c>
      <c r="I9" s="20">
        <v>9</v>
      </c>
      <c r="J9" s="20">
        <v>9</v>
      </c>
      <c r="K9" s="20">
        <f t="shared" si="0"/>
        <v>74</v>
      </c>
      <c r="L9" s="20">
        <v>1599</v>
      </c>
      <c r="M9" s="11">
        <f t="shared" si="1"/>
        <v>118326</v>
      </c>
    </row>
    <row r="10" spans="1:13" ht="29.25" thickBot="1" x14ac:dyDescent="0.3">
      <c r="A10" s="67"/>
      <c r="B10" s="61"/>
      <c r="C10" s="21" t="s">
        <v>23</v>
      </c>
      <c r="D10" s="21">
        <v>0</v>
      </c>
      <c r="E10" s="21">
        <v>9</v>
      </c>
      <c r="F10" s="21">
        <v>9</v>
      </c>
      <c r="G10" s="21">
        <v>19</v>
      </c>
      <c r="H10" s="21">
        <v>19</v>
      </c>
      <c r="I10" s="21">
        <v>9</v>
      </c>
      <c r="J10" s="21">
        <v>9</v>
      </c>
      <c r="K10" s="21">
        <f t="shared" si="0"/>
        <v>74</v>
      </c>
      <c r="L10" s="21">
        <v>1599</v>
      </c>
      <c r="M10" s="4">
        <f t="shared" si="1"/>
        <v>118326</v>
      </c>
    </row>
    <row r="11" spans="1:13" ht="29.25" thickBot="1" x14ac:dyDescent="0.3">
      <c r="A11" s="7">
        <v>4</v>
      </c>
      <c r="B11" s="8">
        <v>30006</v>
      </c>
      <c r="C11" s="8" t="s">
        <v>10</v>
      </c>
      <c r="D11" s="8">
        <v>0</v>
      </c>
      <c r="E11" s="8">
        <v>9</v>
      </c>
      <c r="F11" s="8">
        <v>9</v>
      </c>
      <c r="G11" s="8">
        <v>9</v>
      </c>
      <c r="H11" s="8">
        <v>9</v>
      </c>
      <c r="I11" s="8">
        <v>9</v>
      </c>
      <c r="J11" s="8">
        <v>0</v>
      </c>
      <c r="K11" s="8">
        <f t="shared" si="0"/>
        <v>45</v>
      </c>
      <c r="L11" s="8">
        <v>2199</v>
      </c>
      <c r="M11" s="9">
        <f t="shared" si="1"/>
        <v>98955</v>
      </c>
    </row>
    <row r="12" spans="1:13" ht="29.25" thickBot="1" x14ac:dyDescent="0.3">
      <c r="A12" s="7">
        <v>5</v>
      </c>
      <c r="B12" s="8">
        <v>30005</v>
      </c>
      <c r="C12" s="8" t="s">
        <v>10</v>
      </c>
      <c r="D12" s="8">
        <v>0</v>
      </c>
      <c r="E12" s="8">
        <v>9</v>
      </c>
      <c r="F12" s="8">
        <v>9</v>
      </c>
      <c r="G12" s="8">
        <v>9</v>
      </c>
      <c r="H12" s="8">
        <v>9</v>
      </c>
      <c r="I12" s="8">
        <v>9</v>
      </c>
      <c r="J12" s="8">
        <v>9</v>
      </c>
      <c r="K12" s="8">
        <f t="shared" si="0"/>
        <v>54</v>
      </c>
      <c r="L12" s="8">
        <v>2199</v>
      </c>
      <c r="M12" s="9">
        <f t="shared" si="1"/>
        <v>118746</v>
      </c>
    </row>
    <row r="13" spans="1:13" ht="37.5" customHeight="1" thickBot="1" x14ac:dyDescent="0.3">
      <c r="A13" s="57" t="s">
        <v>15</v>
      </c>
      <c r="B13" s="58"/>
      <c r="C13" s="59"/>
      <c r="D13" s="16">
        <f t="shared" ref="D13:K13" si="2">SUM(D5:D12)</f>
        <v>0</v>
      </c>
      <c r="E13" s="17">
        <f t="shared" si="2"/>
        <v>72</v>
      </c>
      <c r="F13" s="17">
        <f t="shared" si="2"/>
        <v>72</v>
      </c>
      <c r="G13" s="17">
        <f t="shared" si="2"/>
        <v>92</v>
      </c>
      <c r="H13" s="17">
        <f t="shared" si="2"/>
        <v>92</v>
      </c>
      <c r="I13" s="17">
        <f t="shared" si="2"/>
        <v>72</v>
      </c>
      <c r="J13" s="17">
        <f t="shared" si="2"/>
        <v>63</v>
      </c>
      <c r="K13" s="18">
        <f t="shared" si="2"/>
        <v>463</v>
      </c>
      <c r="L13" s="17"/>
      <c r="M13" s="18">
        <f>SUM(M5:M12)</f>
        <v>907737</v>
      </c>
    </row>
    <row r="14" spans="1:13" ht="29.25" thickBot="1" x14ac:dyDescent="0.3">
      <c r="A14" s="19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/>
    </row>
  </sheetData>
  <mergeCells count="10">
    <mergeCell ref="A13:C13"/>
    <mergeCell ref="A9:A10"/>
    <mergeCell ref="B9:B10"/>
    <mergeCell ref="A1:M1"/>
    <mergeCell ref="A2:M2"/>
    <mergeCell ref="D3:J3"/>
    <mergeCell ref="A5:A6"/>
    <mergeCell ref="B5:B6"/>
    <mergeCell ref="A7:A8"/>
    <mergeCell ref="B7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sqref="A1:XFD1048576"/>
    </sheetView>
  </sheetViews>
  <sheetFormatPr defaultRowHeight="15" x14ac:dyDescent="0.25"/>
  <cols>
    <col min="1" max="1" width="16.7109375" style="5" customWidth="1"/>
    <col min="2" max="2" width="15.5703125" bestFit="1" customWidth="1"/>
    <col min="3" max="3" width="21.28515625" customWidth="1"/>
    <col min="4" max="10" width="9.42578125" bestFit="1" customWidth="1"/>
    <col min="11" max="11" width="15.42578125" bestFit="1" customWidth="1"/>
    <col min="12" max="12" width="14.28515625" customWidth="1"/>
    <col min="13" max="13" width="25.140625" bestFit="1" customWidth="1"/>
  </cols>
  <sheetData>
    <row r="1" spans="1:13" ht="29.25" thickBot="1" x14ac:dyDescent="0.3">
      <c r="A1" s="63" t="s">
        <v>24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</row>
    <row r="2" spans="1:13" ht="7.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</row>
    <row r="3" spans="1:13" ht="29.25" thickBot="1" x14ac:dyDescent="0.3">
      <c r="A3" s="7"/>
      <c r="B3" s="8"/>
      <c r="C3" s="8"/>
      <c r="D3" s="51" t="s">
        <v>3</v>
      </c>
      <c r="E3" s="52"/>
      <c r="F3" s="52"/>
      <c r="G3" s="52"/>
      <c r="H3" s="52"/>
      <c r="I3" s="52"/>
      <c r="J3" s="53"/>
      <c r="K3" s="8"/>
      <c r="L3" s="8"/>
      <c r="M3" s="9"/>
    </row>
    <row r="4" spans="1:13" ht="29.25" thickBot="1" x14ac:dyDescent="0.3">
      <c r="A4" s="7" t="s">
        <v>0</v>
      </c>
      <c r="B4" s="8" t="s">
        <v>1</v>
      </c>
      <c r="C4" s="8" t="s">
        <v>2</v>
      </c>
      <c r="D4" s="8">
        <v>36</v>
      </c>
      <c r="E4" s="8">
        <v>37</v>
      </c>
      <c r="F4" s="8">
        <v>38</v>
      </c>
      <c r="G4" s="8">
        <v>39</v>
      </c>
      <c r="H4" s="8">
        <v>40</v>
      </c>
      <c r="I4" s="8">
        <v>41</v>
      </c>
      <c r="J4" s="8">
        <v>42</v>
      </c>
      <c r="K4" s="8" t="s">
        <v>4</v>
      </c>
      <c r="L4" s="8" t="s">
        <v>5</v>
      </c>
      <c r="M4" s="9" t="s">
        <v>6</v>
      </c>
    </row>
    <row r="5" spans="1:13" ht="28.5" x14ac:dyDescent="0.25">
      <c r="A5" s="66">
        <v>1</v>
      </c>
      <c r="B5" s="60">
        <v>10002</v>
      </c>
      <c r="C5" s="28" t="s">
        <v>10</v>
      </c>
      <c r="D5" s="28">
        <v>0</v>
      </c>
      <c r="E5" s="28">
        <v>9</v>
      </c>
      <c r="F5" s="28">
        <v>19</v>
      </c>
      <c r="G5" s="28">
        <v>19</v>
      </c>
      <c r="H5" s="28">
        <v>9</v>
      </c>
      <c r="I5" s="28">
        <v>9</v>
      </c>
      <c r="J5" s="28">
        <v>0</v>
      </c>
      <c r="K5" s="28">
        <f>SUBTOTAL(9,D5:J5)</f>
        <v>65</v>
      </c>
      <c r="L5" s="28">
        <v>1799</v>
      </c>
      <c r="M5" s="11">
        <f>L5*K5</f>
        <v>116935</v>
      </c>
    </row>
    <row r="6" spans="1:13" ht="29.25" thickBot="1" x14ac:dyDescent="0.3">
      <c r="A6" s="67"/>
      <c r="B6" s="61"/>
      <c r="C6" s="29" t="s">
        <v>22</v>
      </c>
      <c r="D6" s="29">
        <v>0</v>
      </c>
      <c r="E6" s="29">
        <v>9</v>
      </c>
      <c r="F6" s="29">
        <v>19</v>
      </c>
      <c r="G6" s="29">
        <v>19</v>
      </c>
      <c r="H6" s="29">
        <v>9</v>
      </c>
      <c r="I6" s="29">
        <v>9</v>
      </c>
      <c r="J6" s="29">
        <v>0</v>
      </c>
      <c r="K6" s="29">
        <f t="shared" ref="K6:K8" si="0">SUBTOTAL(9,D6:J6)</f>
        <v>65</v>
      </c>
      <c r="L6" s="29">
        <v>1799</v>
      </c>
      <c r="M6" s="4">
        <f t="shared" ref="M6:M8" si="1">L6*K6</f>
        <v>116935</v>
      </c>
    </row>
    <row r="7" spans="1:13" ht="28.5" x14ac:dyDescent="0.25">
      <c r="A7" s="66">
        <v>2</v>
      </c>
      <c r="B7" s="60">
        <v>10003</v>
      </c>
      <c r="C7" s="28" t="s">
        <v>10</v>
      </c>
      <c r="D7" s="28">
        <v>0</v>
      </c>
      <c r="E7" s="28">
        <v>9</v>
      </c>
      <c r="F7" s="28">
        <v>9</v>
      </c>
      <c r="G7" s="28">
        <v>19</v>
      </c>
      <c r="H7" s="28">
        <v>19</v>
      </c>
      <c r="I7" s="28">
        <v>9</v>
      </c>
      <c r="J7" s="28">
        <v>9</v>
      </c>
      <c r="K7" s="28">
        <f t="shared" si="0"/>
        <v>74</v>
      </c>
      <c r="L7" s="28">
        <v>1599</v>
      </c>
      <c r="M7" s="11">
        <f t="shared" si="1"/>
        <v>118326</v>
      </c>
    </row>
    <row r="8" spans="1:13" ht="29.25" thickBot="1" x14ac:dyDescent="0.3">
      <c r="A8" s="67"/>
      <c r="B8" s="61"/>
      <c r="C8" s="29" t="s">
        <v>22</v>
      </c>
      <c r="D8" s="29">
        <v>0</v>
      </c>
      <c r="E8" s="29">
        <v>9</v>
      </c>
      <c r="F8" s="29">
        <v>9</v>
      </c>
      <c r="G8" s="29">
        <v>19</v>
      </c>
      <c r="H8" s="29">
        <v>19</v>
      </c>
      <c r="I8" s="29">
        <v>9</v>
      </c>
      <c r="J8" s="29">
        <v>9</v>
      </c>
      <c r="K8" s="29">
        <f t="shared" si="0"/>
        <v>74</v>
      </c>
      <c r="L8" s="29">
        <v>1599</v>
      </c>
      <c r="M8" s="4">
        <f t="shared" si="1"/>
        <v>118326</v>
      </c>
    </row>
    <row r="9" spans="1:13" ht="37.5" customHeight="1" thickBot="1" x14ac:dyDescent="0.3">
      <c r="A9" s="57" t="s">
        <v>15</v>
      </c>
      <c r="B9" s="58"/>
      <c r="C9" s="59"/>
      <c r="D9" s="16">
        <f t="shared" ref="D9:K9" si="2">SUM(D5:D8)</f>
        <v>0</v>
      </c>
      <c r="E9" s="17">
        <f t="shared" si="2"/>
        <v>36</v>
      </c>
      <c r="F9" s="17">
        <f t="shared" si="2"/>
        <v>56</v>
      </c>
      <c r="G9" s="17">
        <f t="shared" si="2"/>
        <v>76</v>
      </c>
      <c r="H9" s="17">
        <f t="shared" si="2"/>
        <v>56</v>
      </c>
      <c r="I9" s="17">
        <f t="shared" si="2"/>
        <v>36</v>
      </c>
      <c r="J9" s="17">
        <f t="shared" si="2"/>
        <v>18</v>
      </c>
      <c r="K9" s="18">
        <f t="shared" si="2"/>
        <v>278</v>
      </c>
      <c r="L9" s="17"/>
      <c r="M9" s="18">
        <f>SUM(M5:M8)</f>
        <v>470522</v>
      </c>
    </row>
    <row r="10" spans="1:13" ht="29.25" thickBot="1" x14ac:dyDescent="0.3">
      <c r="A10" s="30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</row>
  </sheetData>
  <mergeCells count="8">
    <mergeCell ref="A9:C9"/>
    <mergeCell ref="A1:M1"/>
    <mergeCell ref="A2:M2"/>
    <mergeCell ref="D3:J3"/>
    <mergeCell ref="A5:A6"/>
    <mergeCell ref="B5:B6"/>
    <mergeCell ref="A7:A8"/>
    <mergeCell ref="B7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A7" sqref="A7:A8"/>
    </sheetView>
  </sheetViews>
  <sheetFormatPr defaultRowHeight="15" x14ac:dyDescent="0.25"/>
  <cols>
    <col min="1" max="1" width="16.7109375" style="5" customWidth="1"/>
    <col min="2" max="2" width="15.5703125" bestFit="1" customWidth="1"/>
    <col min="3" max="3" width="21.28515625" customWidth="1"/>
    <col min="4" max="4" width="23.42578125" customWidth="1"/>
    <col min="5" max="5" width="23.5703125" customWidth="1"/>
    <col min="6" max="12" width="9.42578125" bestFit="1" customWidth="1"/>
    <col min="13" max="13" width="15.42578125" bestFit="1" customWidth="1"/>
    <col min="14" max="14" width="14.28515625" customWidth="1"/>
    <col min="15" max="15" width="25.140625" bestFit="1" customWidth="1"/>
  </cols>
  <sheetData>
    <row r="1" spans="1:15" ht="29.25" thickBot="1" x14ac:dyDescent="0.3">
      <c r="A1" s="63" t="s">
        <v>25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</row>
    <row r="2" spans="1:15" ht="7.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29.25" thickBot="1" x14ac:dyDescent="0.3">
      <c r="A3" s="7"/>
      <c r="B3" s="8"/>
      <c r="C3" s="8"/>
      <c r="D3" s="36"/>
      <c r="E3" s="36"/>
      <c r="F3" s="51" t="s">
        <v>3</v>
      </c>
      <c r="G3" s="52"/>
      <c r="H3" s="52"/>
      <c r="I3" s="52"/>
      <c r="J3" s="52"/>
      <c r="K3" s="52"/>
      <c r="L3" s="53"/>
      <c r="M3" s="8"/>
      <c r="N3" s="8"/>
      <c r="O3" s="9"/>
    </row>
    <row r="4" spans="1:15" ht="29.25" thickBot="1" x14ac:dyDescent="0.3">
      <c r="A4" s="7" t="s">
        <v>0</v>
      </c>
      <c r="B4" s="8" t="s">
        <v>1</v>
      </c>
      <c r="C4" s="8" t="s">
        <v>2</v>
      </c>
      <c r="D4" s="8" t="s">
        <v>27</v>
      </c>
      <c r="E4" s="8" t="s">
        <v>28</v>
      </c>
      <c r="F4" s="8">
        <v>36</v>
      </c>
      <c r="G4" s="8">
        <v>37</v>
      </c>
      <c r="H4" s="8">
        <v>38</v>
      </c>
      <c r="I4" s="8">
        <v>39</v>
      </c>
      <c r="J4" s="8">
        <v>40</v>
      </c>
      <c r="K4" s="8">
        <v>41</v>
      </c>
      <c r="L4" s="8">
        <v>42</v>
      </c>
      <c r="M4" s="8" t="s">
        <v>4</v>
      </c>
      <c r="N4" s="8" t="s">
        <v>5</v>
      </c>
      <c r="O4" s="9" t="s">
        <v>6</v>
      </c>
    </row>
    <row r="5" spans="1:15" ht="28.5" x14ac:dyDescent="0.25">
      <c r="A5" s="66">
        <v>1</v>
      </c>
      <c r="B5" s="60">
        <v>10012</v>
      </c>
      <c r="C5" s="32" t="s">
        <v>10</v>
      </c>
      <c r="D5" s="34" t="s">
        <v>29</v>
      </c>
      <c r="E5" s="34" t="s">
        <v>30</v>
      </c>
      <c r="F5" s="32">
        <v>0</v>
      </c>
      <c r="G5" s="32">
        <v>9</v>
      </c>
      <c r="H5" s="32">
        <v>9</v>
      </c>
      <c r="I5" s="32">
        <v>9</v>
      </c>
      <c r="J5" s="32">
        <v>9</v>
      </c>
      <c r="K5" s="32">
        <v>9</v>
      </c>
      <c r="L5" s="32">
        <v>9</v>
      </c>
      <c r="M5" s="32">
        <f>SUBTOTAL(9,F5:L5)</f>
        <v>54</v>
      </c>
      <c r="N5" s="32">
        <v>1899</v>
      </c>
      <c r="O5" s="11">
        <f>N5*M5</f>
        <v>102546</v>
      </c>
    </row>
    <row r="6" spans="1:15" ht="29.25" thickBot="1" x14ac:dyDescent="0.3">
      <c r="A6" s="67"/>
      <c r="B6" s="61"/>
      <c r="C6" s="33" t="s">
        <v>26</v>
      </c>
      <c r="D6" s="35" t="s">
        <v>29</v>
      </c>
      <c r="E6" s="35" t="s">
        <v>30</v>
      </c>
      <c r="F6" s="33">
        <v>0</v>
      </c>
      <c r="G6" s="33">
        <v>9</v>
      </c>
      <c r="H6" s="33">
        <v>9</v>
      </c>
      <c r="I6" s="33">
        <v>9</v>
      </c>
      <c r="J6" s="33">
        <v>9</v>
      </c>
      <c r="K6" s="33">
        <v>9</v>
      </c>
      <c r="L6" s="33">
        <v>9</v>
      </c>
      <c r="M6" s="33">
        <f t="shared" ref="M6:M8" si="0">SUBTOTAL(9,F6:L6)</f>
        <v>54</v>
      </c>
      <c r="N6" s="33">
        <v>1899</v>
      </c>
      <c r="O6" s="4">
        <f t="shared" ref="O6:O8" si="1">N6*M6</f>
        <v>102546</v>
      </c>
    </row>
    <row r="7" spans="1:15" ht="28.5" x14ac:dyDescent="0.25">
      <c r="A7" s="66">
        <v>2</v>
      </c>
      <c r="B7" s="60">
        <v>30007</v>
      </c>
      <c r="C7" s="32" t="s">
        <v>10</v>
      </c>
      <c r="D7" s="34" t="s">
        <v>31</v>
      </c>
      <c r="E7" s="34" t="s">
        <v>32</v>
      </c>
      <c r="F7" s="32">
        <v>0</v>
      </c>
      <c r="G7" s="32">
        <v>9</v>
      </c>
      <c r="H7" s="32">
        <v>9</v>
      </c>
      <c r="I7" s="32">
        <v>9</v>
      </c>
      <c r="J7" s="32">
        <v>9</v>
      </c>
      <c r="K7" s="32">
        <v>9</v>
      </c>
      <c r="L7" s="32">
        <v>0</v>
      </c>
      <c r="M7" s="32">
        <f t="shared" si="0"/>
        <v>45</v>
      </c>
      <c r="N7" s="32">
        <v>2199</v>
      </c>
      <c r="O7" s="11">
        <f t="shared" si="1"/>
        <v>98955</v>
      </c>
    </row>
    <row r="8" spans="1:15" ht="29.25" thickBot="1" x14ac:dyDescent="0.3">
      <c r="A8" s="67"/>
      <c r="B8" s="61"/>
      <c r="C8" s="33" t="s">
        <v>22</v>
      </c>
      <c r="D8" s="35" t="s">
        <v>31</v>
      </c>
      <c r="E8" s="35" t="s">
        <v>32</v>
      </c>
      <c r="F8" s="33">
        <v>0</v>
      </c>
      <c r="G8" s="33">
        <v>9</v>
      </c>
      <c r="H8" s="33">
        <v>9</v>
      </c>
      <c r="I8" s="33">
        <v>9</v>
      </c>
      <c r="J8" s="33">
        <v>9</v>
      </c>
      <c r="K8" s="33">
        <v>9</v>
      </c>
      <c r="L8" s="33">
        <v>0</v>
      </c>
      <c r="M8" s="33">
        <f t="shared" si="0"/>
        <v>45</v>
      </c>
      <c r="N8" s="33">
        <v>2199</v>
      </c>
      <c r="O8" s="4">
        <f t="shared" si="1"/>
        <v>98955</v>
      </c>
    </row>
    <row r="9" spans="1:15" ht="37.5" customHeight="1" thickBot="1" x14ac:dyDescent="0.3">
      <c r="A9" s="57" t="s">
        <v>15</v>
      </c>
      <c r="B9" s="58"/>
      <c r="C9" s="59"/>
      <c r="D9" s="37"/>
      <c r="E9" s="37"/>
      <c r="F9" s="16">
        <f t="shared" ref="F9:M9" si="2">SUM(F5:F8)</f>
        <v>0</v>
      </c>
      <c r="G9" s="17">
        <f t="shared" si="2"/>
        <v>36</v>
      </c>
      <c r="H9" s="17">
        <f t="shared" si="2"/>
        <v>36</v>
      </c>
      <c r="I9" s="17">
        <f t="shared" si="2"/>
        <v>36</v>
      </c>
      <c r="J9" s="17">
        <f t="shared" si="2"/>
        <v>36</v>
      </c>
      <c r="K9" s="17">
        <f t="shared" si="2"/>
        <v>36</v>
      </c>
      <c r="L9" s="17">
        <f t="shared" si="2"/>
        <v>18</v>
      </c>
      <c r="M9" s="18">
        <f t="shared" si="2"/>
        <v>198</v>
      </c>
      <c r="N9" s="17"/>
      <c r="O9" s="18">
        <f>SUM(O5:O8)</f>
        <v>403002</v>
      </c>
    </row>
    <row r="10" spans="1:15" ht="29.25" thickBot="1" x14ac:dyDescent="0.3">
      <c r="A10" s="31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</row>
  </sheetData>
  <mergeCells count="8">
    <mergeCell ref="A9:C9"/>
    <mergeCell ref="A1:O1"/>
    <mergeCell ref="A2:O2"/>
    <mergeCell ref="F3:L3"/>
    <mergeCell ref="A5:A6"/>
    <mergeCell ref="B5:B6"/>
    <mergeCell ref="A7:A8"/>
    <mergeCell ref="B7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sqref="A1:O1"/>
    </sheetView>
  </sheetViews>
  <sheetFormatPr defaultRowHeight="15" x14ac:dyDescent="0.25"/>
  <cols>
    <col min="1" max="1" width="16.7109375" style="5" customWidth="1"/>
    <col min="2" max="2" width="15.5703125" bestFit="1" customWidth="1"/>
    <col min="3" max="3" width="21.28515625" customWidth="1"/>
    <col min="4" max="4" width="23.42578125" customWidth="1"/>
    <col min="5" max="5" width="23.5703125" customWidth="1"/>
    <col min="6" max="12" width="9.42578125" bestFit="1" customWidth="1"/>
    <col min="13" max="13" width="15.42578125" bestFit="1" customWidth="1"/>
    <col min="14" max="14" width="14.28515625" customWidth="1"/>
    <col min="15" max="15" width="25.140625" bestFit="1" customWidth="1"/>
  </cols>
  <sheetData>
    <row r="1" spans="1:15" ht="29.25" thickBot="1" x14ac:dyDescent="0.3">
      <c r="A1" s="63" t="s">
        <v>36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</row>
    <row r="2" spans="1:15" ht="7.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29.25" thickBot="1" x14ac:dyDescent="0.3">
      <c r="A3" s="7"/>
      <c r="B3" s="8"/>
      <c r="C3" s="8"/>
      <c r="D3" s="40"/>
      <c r="E3" s="40"/>
      <c r="F3" s="51" t="s">
        <v>3</v>
      </c>
      <c r="G3" s="52"/>
      <c r="H3" s="52"/>
      <c r="I3" s="52"/>
      <c r="J3" s="52"/>
      <c r="K3" s="52"/>
      <c r="L3" s="53"/>
      <c r="M3" s="8"/>
      <c r="N3" s="8"/>
      <c r="O3" s="9"/>
    </row>
    <row r="4" spans="1:15" ht="29.25" thickBot="1" x14ac:dyDescent="0.3">
      <c r="A4" s="7" t="s">
        <v>0</v>
      </c>
      <c r="B4" s="8" t="s">
        <v>1</v>
      </c>
      <c r="C4" s="8" t="s">
        <v>2</v>
      </c>
      <c r="D4" s="8" t="s">
        <v>27</v>
      </c>
      <c r="E4" s="8" t="s">
        <v>28</v>
      </c>
      <c r="F4" s="8">
        <v>36</v>
      </c>
      <c r="G4" s="8">
        <v>37</v>
      </c>
      <c r="H4" s="8">
        <v>38</v>
      </c>
      <c r="I4" s="8">
        <v>39</v>
      </c>
      <c r="J4" s="8">
        <v>40</v>
      </c>
      <c r="K4" s="8">
        <v>41</v>
      </c>
      <c r="L4" s="8">
        <v>42</v>
      </c>
      <c r="M4" s="8" t="s">
        <v>4</v>
      </c>
      <c r="N4" s="8" t="s">
        <v>5</v>
      </c>
      <c r="O4" s="9" t="s">
        <v>6</v>
      </c>
    </row>
    <row r="5" spans="1:15" ht="28.5" x14ac:dyDescent="0.25">
      <c r="A5" s="66">
        <v>1</v>
      </c>
      <c r="B5" s="60">
        <v>1013</v>
      </c>
      <c r="C5" s="42" t="s">
        <v>10</v>
      </c>
      <c r="D5" s="42" t="s">
        <v>29</v>
      </c>
      <c r="E5" s="42" t="s">
        <v>33</v>
      </c>
      <c r="F5" s="42">
        <v>0</v>
      </c>
      <c r="G5" s="42">
        <v>9</v>
      </c>
      <c r="H5" s="42">
        <v>9</v>
      </c>
      <c r="I5" s="42">
        <v>9</v>
      </c>
      <c r="J5" s="42">
        <v>9</v>
      </c>
      <c r="K5" s="42">
        <v>9</v>
      </c>
      <c r="L5" s="42">
        <v>9</v>
      </c>
      <c r="M5" s="42">
        <f>SUBTOTAL(9,F5:L5)</f>
        <v>54</v>
      </c>
      <c r="N5" s="42">
        <v>1799</v>
      </c>
      <c r="O5" s="11">
        <f>N5*M5</f>
        <v>97146</v>
      </c>
    </row>
    <row r="6" spans="1:15" ht="29.25" thickBot="1" x14ac:dyDescent="0.3">
      <c r="A6" s="67"/>
      <c r="B6" s="61"/>
      <c r="C6" s="43" t="s">
        <v>22</v>
      </c>
      <c r="D6" s="43" t="s">
        <v>29</v>
      </c>
      <c r="E6" s="43" t="s">
        <v>33</v>
      </c>
      <c r="F6" s="43">
        <v>0</v>
      </c>
      <c r="G6" s="43">
        <v>9</v>
      </c>
      <c r="H6" s="43">
        <v>9</v>
      </c>
      <c r="I6" s="43">
        <v>9</v>
      </c>
      <c r="J6" s="43">
        <v>9</v>
      </c>
      <c r="K6" s="43">
        <v>9</v>
      </c>
      <c r="L6" s="43">
        <v>9</v>
      </c>
      <c r="M6" s="43">
        <f t="shared" ref="M6:M9" si="0">SUBTOTAL(9,F6:L6)</f>
        <v>54</v>
      </c>
      <c r="N6" s="43">
        <v>1799</v>
      </c>
      <c r="O6" s="4">
        <f t="shared" ref="O6:O9" si="1">N6*M6</f>
        <v>97146</v>
      </c>
    </row>
    <row r="7" spans="1:15" ht="29.25" thickBot="1" x14ac:dyDescent="0.3">
      <c r="A7" s="39">
        <v>2</v>
      </c>
      <c r="B7" s="45">
        <v>30004</v>
      </c>
      <c r="C7" s="45" t="s">
        <v>10</v>
      </c>
      <c r="D7" s="45" t="s">
        <v>34</v>
      </c>
      <c r="E7" s="45" t="s">
        <v>35</v>
      </c>
      <c r="F7" s="45">
        <v>0</v>
      </c>
      <c r="G7" s="45">
        <v>9</v>
      </c>
      <c r="H7" s="45">
        <v>9</v>
      </c>
      <c r="I7" s="45">
        <v>9</v>
      </c>
      <c r="J7" s="45">
        <v>9</v>
      </c>
      <c r="K7" s="45">
        <v>9</v>
      </c>
      <c r="L7" s="45">
        <v>0</v>
      </c>
      <c r="M7" s="43">
        <f t="shared" si="0"/>
        <v>45</v>
      </c>
      <c r="N7" s="43">
        <v>2199</v>
      </c>
      <c r="O7" s="4">
        <f t="shared" si="1"/>
        <v>98955</v>
      </c>
    </row>
    <row r="8" spans="1:15" ht="28.5" x14ac:dyDescent="0.25">
      <c r="A8" s="66">
        <v>3</v>
      </c>
      <c r="B8" s="60">
        <v>30001</v>
      </c>
      <c r="C8" s="42" t="s">
        <v>10</v>
      </c>
      <c r="D8" s="42" t="s">
        <v>31</v>
      </c>
      <c r="E8" s="42" t="s">
        <v>32</v>
      </c>
      <c r="F8" s="42">
        <v>0</v>
      </c>
      <c r="G8" s="42">
        <v>9</v>
      </c>
      <c r="H8" s="42">
        <v>9</v>
      </c>
      <c r="I8" s="42">
        <v>9</v>
      </c>
      <c r="J8" s="42">
        <v>9</v>
      </c>
      <c r="K8" s="42">
        <v>9</v>
      </c>
      <c r="L8" s="42">
        <v>9</v>
      </c>
      <c r="M8" s="42">
        <f t="shared" si="0"/>
        <v>54</v>
      </c>
      <c r="N8" s="42">
        <v>1999</v>
      </c>
      <c r="O8" s="11">
        <f t="shared" si="1"/>
        <v>107946</v>
      </c>
    </row>
    <row r="9" spans="1:15" ht="29.25" thickBot="1" x14ac:dyDescent="0.3">
      <c r="A9" s="67"/>
      <c r="B9" s="61"/>
      <c r="C9" s="43" t="s">
        <v>22</v>
      </c>
      <c r="D9" s="43" t="s">
        <v>31</v>
      </c>
      <c r="E9" s="43" t="s">
        <v>32</v>
      </c>
      <c r="F9" s="43">
        <v>0</v>
      </c>
      <c r="G9" s="43">
        <v>9</v>
      </c>
      <c r="H9" s="43">
        <v>9</v>
      </c>
      <c r="I9" s="43">
        <v>9</v>
      </c>
      <c r="J9" s="43">
        <v>9</v>
      </c>
      <c r="K9" s="43">
        <v>9</v>
      </c>
      <c r="L9" s="43">
        <v>9</v>
      </c>
      <c r="M9" s="43">
        <f t="shared" si="0"/>
        <v>54</v>
      </c>
      <c r="N9" s="43">
        <v>1999</v>
      </c>
      <c r="O9" s="4">
        <f t="shared" si="1"/>
        <v>107946</v>
      </c>
    </row>
    <row r="10" spans="1:15" ht="37.5" customHeight="1" thickBot="1" x14ac:dyDescent="0.3">
      <c r="A10" s="57" t="s">
        <v>15</v>
      </c>
      <c r="B10" s="58"/>
      <c r="C10" s="59"/>
      <c r="D10" s="41"/>
      <c r="E10" s="41"/>
      <c r="F10" s="16">
        <f t="shared" ref="F10:M10" si="2">SUM(F5:F9)</f>
        <v>0</v>
      </c>
      <c r="G10" s="17">
        <f t="shared" si="2"/>
        <v>45</v>
      </c>
      <c r="H10" s="17">
        <f t="shared" si="2"/>
        <v>45</v>
      </c>
      <c r="I10" s="17">
        <f t="shared" si="2"/>
        <v>45</v>
      </c>
      <c r="J10" s="17">
        <f t="shared" si="2"/>
        <v>45</v>
      </c>
      <c r="K10" s="17">
        <f t="shared" si="2"/>
        <v>45</v>
      </c>
      <c r="L10" s="17">
        <f t="shared" si="2"/>
        <v>36</v>
      </c>
      <c r="M10" s="18">
        <f t="shared" si="2"/>
        <v>261</v>
      </c>
      <c r="N10" s="17"/>
      <c r="O10" s="18">
        <f>SUM(O5:O9)</f>
        <v>509139</v>
      </c>
    </row>
    <row r="11" spans="1:15" ht="29.25" thickBot="1" x14ac:dyDescent="0.3">
      <c r="A11" s="3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</row>
  </sheetData>
  <mergeCells count="8">
    <mergeCell ref="A10:C10"/>
    <mergeCell ref="A1:O1"/>
    <mergeCell ref="A2:O2"/>
    <mergeCell ref="F3:L3"/>
    <mergeCell ref="A5:A6"/>
    <mergeCell ref="B5:B6"/>
    <mergeCell ref="A8:A9"/>
    <mergeCell ref="B8:B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topLeftCell="D8" workbookViewId="0">
      <selection activeCell="G20" sqref="G20"/>
    </sheetView>
  </sheetViews>
  <sheetFormatPr defaultRowHeight="15" x14ac:dyDescent="0.25"/>
  <cols>
    <col min="1" max="1" width="16.7109375" style="5" customWidth="1"/>
    <col min="2" max="2" width="15.5703125" bestFit="1" customWidth="1"/>
    <col min="3" max="3" width="21.28515625" customWidth="1"/>
    <col min="4" max="4" width="23.42578125" customWidth="1"/>
    <col min="5" max="5" width="26.42578125" customWidth="1"/>
    <col min="6" max="12" width="9.42578125" bestFit="1" customWidth="1"/>
    <col min="13" max="13" width="15.42578125" bestFit="1" customWidth="1"/>
    <col min="14" max="14" width="14.28515625" customWidth="1"/>
    <col min="15" max="15" width="25.140625" bestFit="1" customWidth="1"/>
  </cols>
  <sheetData>
    <row r="1" spans="1:15" ht="44.25" customHeight="1" thickBot="1" x14ac:dyDescent="0.3">
      <c r="A1" s="63" t="s">
        <v>37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</row>
    <row r="2" spans="1:15" ht="7.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29.25" thickBot="1" x14ac:dyDescent="0.3">
      <c r="A3" s="7"/>
      <c r="B3" s="8"/>
      <c r="C3" s="8"/>
      <c r="D3" s="40"/>
      <c r="E3" s="40"/>
      <c r="F3" s="51" t="s">
        <v>3</v>
      </c>
      <c r="G3" s="52"/>
      <c r="H3" s="52"/>
      <c r="I3" s="52"/>
      <c r="J3" s="52"/>
      <c r="K3" s="52"/>
      <c r="L3" s="53"/>
      <c r="M3" s="8"/>
      <c r="N3" s="8"/>
      <c r="O3" s="9"/>
    </row>
    <row r="4" spans="1:15" ht="29.25" thickBot="1" x14ac:dyDescent="0.3">
      <c r="A4" s="7" t="s">
        <v>0</v>
      </c>
      <c r="B4" s="8" t="s">
        <v>1</v>
      </c>
      <c r="C4" s="8" t="s">
        <v>2</v>
      </c>
      <c r="D4" s="8" t="s">
        <v>27</v>
      </c>
      <c r="E4" s="8" t="s">
        <v>28</v>
      </c>
      <c r="F4" s="8">
        <v>36</v>
      </c>
      <c r="G4" s="8">
        <v>37</v>
      </c>
      <c r="H4" s="8">
        <v>38</v>
      </c>
      <c r="I4" s="8">
        <v>39</v>
      </c>
      <c r="J4" s="8">
        <v>40</v>
      </c>
      <c r="K4" s="8">
        <v>41</v>
      </c>
      <c r="L4" s="8">
        <v>42</v>
      </c>
      <c r="M4" s="8" t="s">
        <v>4</v>
      </c>
      <c r="N4" s="8" t="s">
        <v>5</v>
      </c>
      <c r="O4" s="9" t="s">
        <v>6</v>
      </c>
    </row>
    <row r="5" spans="1:15" ht="28.5" x14ac:dyDescent="0.25">
      <c r="A5" s="66">
        <v>1</v>
      </c>
      <c r="B5" s="60">
        <v>20016</v>
      </c>
      <c r="C5" s="42" t="s">
        <v>10</v>
      </c>
      <c r="D5" s="42" t="s">
        <v>35</v>
      </c>
      <c r="E5" s="42" t="s">
        <v>38</v>
      </c>
      <c r="F5" s="42">
        <v>0</v>
      </c>
      <c r="G5" s="42">
        <v>9</v>
      </c>
      <c r="H5" s="42">
        <v>9</v>
      </c>
      <c r="I5" s="42">
        <v>9</v>
      </c>
      <c r="J5" s="42">
        <v>9</v>
      </c>
      <c r="K5" s="42">
        <v>9</v>
      </c>
      <c r="L5" s="42">
        <v>9</v>
      </c>
      <c r="M5" s="42">
        <f>SUBTOTAL(9,F5:L5)</f>
        <v>54</v>
      </c>
      <c r="N5" s="42">
        <v>1899</v>
      </c>
      <c r="O5" s="11">
        <f>N5*M5</f>
        <v>102546</v>
      </c>
    </row>
    <row r="6" spans="1:15" ht="28.5" x14ac:dyDescent="0.25">
      <c r="A6" s="69"/>
      <c r="B6" s="70"/>
      <c r="C6" s="46" t="s">
        <v>12</v>
      </c>
      <c r="D6" s="46" t="s">
        <v>35</v>
      </c>
      <c r="E6" s="46" t="s">
        <v>38</v>
      </c>
      <c r="F6" s="46">
        <v>0</v>
      </c>
      <c r="G6" s="46">
        <v>9</v>
      </c>
      <c r="H6" s="46">
        <v>9</v>
      </c>
      <c r="I6" s="46">
        <v>9</v>
      </c>
      <c r="J6" s="46">
        <v>9</v>
      </c>
      <c r="K6" s="46">
        <v>9</v>
      </c>
      <c r="L6" s="46">
        <v>9</v>
      </c>
      <c r="M6" s="46">
        <f t="shared" ref="M6:M7" si="0">SUBTOTAL(9,F6:L6)</f>
        <v>54</v>
      </c>
      <c r="N6" s="46">
        <v>1899</v>
      </c>
      <c r="O6" s="47">
        <f t="shared" ref="O6:O7" si="1">N6*M6</f>
        <v>102546</v>
      </c>
    </row>
    <row r="7" spans="1:15" ht="28.5" x14ac:dyDescent="0.25">
      <c r="A7" s="68">
        <v>2</v>
      </c>
      <c r="B7" s="44">
        <v>2006</v>
      </c>
      <c r="C7" s="44" t="s">
        <v>10</v>
      </c>
      <c r="D7" s="44" t="s">
        <v>29</v>
      </c>
      <c r="E7" s="44" t="s">
        <v>33</v>
      </c>
      <c r="F7" s="44">
        <v>0</v>
      </c>
      <c r="G7" s="44">
        <v>18</v>
      </c>
      <c r="H7" s="44">
        <v>22</v>
      </c>
      <c r="I7" s="44">
        <v>22</v>
      </c>
      <c r="J7" s="44">
        <v>18</v>
      </c>
      <c r="K7" s="44">
        <v>18</v>
      </c>
      <c r="L7" s="44">
        <v>10</v>
      </c>
      <c r="M7" s="44">
        <f t="shared" si="0"/>
        <v>108</v>
      </c>
      <c r="N7" s="44">
        <v>1499</v>
      </c>
      <c r="O7" s="2">
        <f t="shared" si="1"/>
        <v>161892</v>
      </c>
    </row>
    <row r="8" spans="1:15" ht="28.5" x14ac:dyDescent="0.25">
      <c r="A8" s="68"/>
      <c r="B8" s="44">
        <v>2006</v>
      </c>
      <c r="C8" s="44" t="s">
        <v>20</v>
      </c>
      <c r="D8" s="44" t="s">
        <v>29</v>
      </c>
      <c r="E8" s="44" t="s">
        <v>33</v>
      </c>
      <c r="F8" s="44">
        <v>0</v>
      </c>
      <c r="G8" s="44">
        <v>18</v>
      </c>
      <c r="H8" s="44">
        <v>22</v>
      </c>
      <c r="I8" s="44">
        <v>22</v>
      </c>
      <c r="J8" s="44">
        <v>18</v>
      </c>
      <c r="K8" s="44">
        <v>18</v>
      </c>
      <c r="L8" s="44">
        <v>10</v>
      </c>
      <c r="M8" s="44">
        <f t="shared" ref="M8:M9" si="2">SUBTOTAL(9,F8:L8)</f>
        <v>108</v>
      </c>
      <c r="N8" s="44">
        <v>1499</v>
      </c>
      <c r="O8" s="2">
        <f t="shared" ref="O8:O9" si="3">N8*M8</f>
        <v>161892</v>
      </c>
    </row>
    <row r="9" spans="1:15" ht="28.5" x14ac:dyDescent="0.25">
      <c r="A9" s="68">
        <v>3</v>
      </c>
      <c r="B9" s="44">
        <v>20001</v>
      </c>
      <c r="C9" s="44" t="s">
        <v>10</v>
      </c>
      <c r="D9" s="44" t="s">
        <v>35</v>
      </c>
      <c r="E9" s="44" t="s">
        <v>30</v>
      </c>
      <c r="F9" s="44">
        <v>0</v>
      </c>
      <c r="G9" s="44">
        <v>9</v>
      </c>
      <c r="H9" s="44">
        <v>19</v>
      </c>
      <c r="I9" s="44">
        <v>19</v>
      </c>
      <c r="J9" s="44">
        <v>9</v>
      </c>
      <c r="K9" s="44">
        <v>9</v>
      </c>
      <c r="L9" s="44">
        <v>0</v>
      </c>
      <c r="M9" s="44">
        <f t="shared" si="2"/>
        <v>65</v>
      </c>
      <c r="N9" s="44">
        <v>1999</v>
      </c>
      <c r="O9" s="2">
        <f t="shared" si="3"/>
        <v>129935</v>
      </c>
    </row>
    <row r="10" spans="1:15" ht="28.5" x14ac:dyDescent="0.25">
      <c r="A10" s="68"/>
      <c r="B10" s="44">
        <v>20001</v>
      </c>
      <c r="C10" s="44" t="s">
        <v>12</v>
      </c>
      <c r="D10" s="44" t="s">
        <v>35</v>
      </c>
      <c r="E10" s="44" t="s">
        <v>30</v>
      </c>
      <c r="F10" s="44">
        <v>0</v>
      </c>
      <c r="G10" s="44">
        <v>9</v>
      </c>
      <c r="H10" s="44">
        <v>19</v>
      </c>
      <c r="I10" s="44">
        <v>19</v>
      </c>
      <c r="J10" s="44">
        <v>9</v>
      </c>
      <c r="K10" s="44">
        <v>9</v>
      </c>
      <c r="L10" s="44">
        <v>0</v>
      </c>
      <c r="M10" s="44">
        <f t="shared" ref="M10:M11" si="4">SUBTOTAL(9,F10:L10)</f>
        <v>65</v>
      </c>
      <c r="N10" s="44">
        <v>1999</v>
      </c>
      <c r="O10" s="2">
        <f t="shared" ref="O10:O11" si="5">N10*M10</f>
        <v>129935</v>
      </c>
    </row>
    <row r="11" spans="1:15" ht="28.5" x14ac:dyDescent="0.25">
      <c r="A11" s="68">
        <v>4</v>
      </c>
      <c r="B11" s="44">
        <v>10019</v>
      </c>
      <c r="C11" s="44" t="s">
        <v>10</v>
      </c>
      <c r="D11" s="44" t="s">
        <v>29</v>
      </c>
      <c r="E11" s="44" t="s">
        <v>30</v>
      </c>
      <c r="F11" s="44">
        <v>0</v>
      </c>
      <c r="G11" s="44">
        <v>9</v>
      </c>
      <c r="H11" s="44">
        <v>9</v>
      </c>
      <c r="I11" s="44">
        <v>18</v>
      </c>
      <c r="J11" s="44">
        <v>18</v>
      </c>
      <c r="K11" s="44">
        <v>9</v>
      </c>
      <c r="L11" s="44">
        <v>0</v>
      </c>
      <c r="M11" s="44">
        <f t="shared" si="4"/>
        <v>63</v>
      </c>
      <c r="N11" s="44">
        <v>1399</v>
      </c>
      <c r="O11" s="2">
        <f t="shared" si="5"/>
        <v>88137</v>
      </c>
    </row>
    <row r="12" spans="1:15" ht="28.5" x14ac:dyDescent="0.25">
      <c r="A12" s="68"/>
      <c r="B12" s="44">
        <v>10019</v>
      </c>
      <c r="C12" s="44" t="s">
        <v>12</v>
      </c>
      <c r="D12" s="44" t="s">
        <v>29</v>
      </c>
      <c r="E12" s="44" t="s">
        <v>30</v>
      </c>
      <c r="F12" s="44">
        <v>0</v>
      </c>
      <c r="G12" s="44">
        <v>9</v>
      </c>
      <c r="H12" s="44">
        <v>9</v>
      </c>
      <c r="I12" s="44">
        <v>18</v>
      </c>
      <c r="J12" s="44">
        <v>18</v>
      </c>
      <c r="K12" s="44">
        <v>9</v>
      </c>
      <c r="L12" s="44">
        <v>0</v>
      </c>
      <c r="M12" s="44">
        <f t="shared" ref="M12:M13" si="6">SUBTOTAL(9,F12:L12)</f>
        <v>63</v>
      </c>
      <c r="N12" s="44">
        <v>1399</v>
      </c>
      <c r="O12" s="2">
        <f t="shared" ref="O12:O13" si="7">N12*M12</f>
        <v>88137</v>
      </c>
    </row>
    <row r="13" spans="1:15" ht="28.5" x14ac:dyDescent="0.25">
      <c r="A13" s="68">
        <v>5</v>
      </c>
      <c r="B13" s="44">
        <v>2097</v>
      </c>
      <c r="C13" s="44" t="s">
        <v>10</v>
      </c>
      <c r="D13" s="44" t="s">
        <v>29</v>
      </c>
      <c r="E13" s="44" t="s">
        <v>30</v>
      </c>
      <c r="F13" s="44">
        <v>3</v>
      </c>
      <c r="G13" s="44">
        <v>5</v>
      </c>
      <c r="H13" s="44">
        <v>5</v>
      </c>
      <c r="I13" s="44">
        <v>4</v>
      </c>
      <c r="J13" s="44">
        <v>4</v>
      </c>
      <c r="K13" s="44">
        <v>3</v>
      </c>
      <c r="L13" s="44">
        <v>0</v>
      </c>
      <c r="M13" s="44">
        <f t="shared" si="6"/>
        <v>24</v>
      </c>
      <c r="N13" s="44">
        <v>1499</v>
      </c>
      <c r="O13" s="2">
        <f t="shared" si="7"/>
        <v>35976</v>
      </c>
    </row>
    <row r="14" spans="1:15" ht="29.25" thickBot="1" x14ac:dyDescent="0.3">
      <c r="A14" s="68"/>
      <c r="B14" s="44">
        <v>2097</v>
      </c>
      <c r="C14" s="44" t="s">
        <v>39</v>
      </c>
      <c r="D14" s="44" t="s">
        <v>29</v>
      </c>
      <c r="E14" s="44" t="s">
        <v>30</v>
      </c>
      <c r="F14" s="44">
        <v>3</v>
      </c>
      <c r="G14" s="44">
        <v>5</v>
      </c>
      <c r="H14" s="44">
        <v>5</v>
      </c>
      <c r="I14" s="44">
        <v>4</v>
      </c>
      <c r="J14" s="44">
        <v>4</v>
      </c>
      <c r="K14" s="44">
        <v>3</v>
      </c>
      <c r="L14" s="44">
        <v>0</v>
      </c>
      <c r="M14" s="44">
        <f t="shared" ref="M14" si="8">SUBTOTAL(9,F14:L14)</f>
        <v>24</v>
      </c>
      <c r="N14" s="44">
        <v>1499</v>
      </c>
      <c r="O14" s="2">
        <f t="shared" ref="O14" si="9">N14*M14</f>
        <v>35976</v>
      </c>
    </row>
    <row r="15" spans="1:15" ht="37.5" customHeight="1" thickBot="1" x14ac:dyDescent="0.3">
      <c r="A15" s="57" t="s">
        <v>15</v>
      </c>
      <c r="B15" s="58"/>
      <c r="C15" s="59"/>
      <c r="D15" s="41"/>
      <c r="E15" s="41"/>
      <c r="F15" s="16">
        <f t="shared" ref="F15:M15" si="10">SUM(F5:F14)</f>
        <v>6</v>
      </c>
      <c r="G15" s="17">
        <f t="shared" si="10"/>
        <v>100</v>
      </c>
      <c r="H15" s="17">
        <f t="shared" si="10"/>
        <v>128</v>
      </c>
      <c r="I15" s="17">
        <f t="shared" si="10"/>
        <v>144</v>
      </c>
      <c r="J15" s="17">
        <f t="shared" si="10"/>
        <v>116</v>
      </c>
      <c r="K15" s="17">
        <f t="shared" si="10"/>
        <v>96</v>
      </c>
      <c r="L15" s="17">
        <f t="shared" si="10"/>
        <v>38</v>
      </c>
      <c r="M15" s="18">
        <f t="shared" si="10"/>
        <v>628</v>
      </c>
      <c r="N15" s="17"/>
      <c r="O15" s="18">
        <f>SUM(O5:O14)</f>
        <v>1036972</v>
      </c>
    </row>
    <row r="16" spans="1:15" ht="29.25" thickBot="1" x14ac:dyDescent="0.3">
      <c r="A16" s="3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</row>
  </sheetData>
  <mergeCells count="10">
    <mergeCell ref="A1:O1"/>
    <mergeCell ref="A2:O2"/>
    <mergeCell ref="F3:L3"/>
    <mergeCell ref="A5:A6"/>
    <mergeCell ref="B5:B6"/>
    <mergeCell ref="A15:C15"/>
    <mergeCell ref="A7:A8"/>
    <mergeCell ref="A9:A10"/>
    <mergeCell ref="A11:A12"/>
    <mergeCell ref="A13:A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30042026</vt:lpstr>
      <vt:lpstr>27042026</vt:lpstr>
      <vt:lpstr>02052026</vt:lpstr>
      <vt:lpstr>11052026</vt:lpstr>
      <vt:lpstr>19052026</vt:lpstr>
      <vt:lpstr>21052026</vt:lpstr>
      <vt:lpstr>23052026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2026-05-25T08:24:14Z</dcterms:modified>
</cp:coreProperties>
</file>